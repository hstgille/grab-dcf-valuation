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https://theuniversityofliverpool-my.sharepoint.com/personal/hstgille_liverpool_ac_uk/Documents/"/>
    </mc:Choice>
  </mc:AlternateContent>
  <xr:revisionPtr revIDLastSave="0" documentId="8_{1456471C-F384-9646-A012-A66A2656DD9E}" xr6:coauthVersionLast="47" xr6:coauthVersionMax="47" xr10:uidLastSave="{00000000-0000-0000-0000-000000000000}"/>
  <bookViews>
    <workbookView xWindow="0" yWindow="720" windowWidth="29400" windowHeight="18400" activeTab="1" xr2:uid="{048A4992-CF63-B347-A99B-66CF59822407}"/>
  </bookViews>
  <sheets>
    <sheet name="Summary" sheetId="1" r:id="rId1"/>
    <sheet name="Historicals" sheetId="2" r:id="rId2"/>
    <sheet name="Forecast" sheetId="3" r:id="rId3"/>
    <sheet name="WACC" sheetId="5" r:id="rId4"/>
    <sheet name="DCF" sheetId="6" r:id="rId5"/>
    <sheet name="Sensitivity"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5" l="1"/>
  <c r="B12" i="5"/>
  <c r="B20" i="1"/>
  <c r="B19" i="1"/>
  <c r="B18" i="1"/>
  <c r="B17" i="1"/>
  <c r="B16" i="1"/>
  <c r="B15" i="1"/>
  <c r="B14" i="1"/>
  <c r="B13" i="1"/>
  <c r="B12" i="1"/>
  <c r="B11" i="1"/>
  <c r="B10" i="1"/>
  <c r="B9" i="1"/>
  <c r="B8" i="1"/>
  <c r="B7" i="1"/>
  <c r="C3" i="4" a="1"/>
  <c r="C3" i="4" s="1"/>
  <c r="E3" i="4" a="1"/>
  <c r="E3" i="4" s="1"/>
  <c r="F3" i="4" a="1"/>
  <c r="F3" i="4" s="1"/>
  <c r="C4" i="4" a="1"/>
  <c r="C4" i="4" s="1"/>
  <c r="E4" i="4" a="1"/>
  <c r="E4" i="4" s="1"/>
  <c r="F4" i="4" a="1"/>
  <c r="F4" i="4" s="1"/>
  <c r="C6" i="4" a="1"/>
  <c r="C6" i="4" s="1"/>
  <c r="E6" i="4" a="1"/>
  <c r="E6" i="4" s="1"/>
  <c r="F6" i="4" a="1"/>
  <c r="F6" i="4" s="1"/>
  <c r="C7" i="4" a="1"/>
  <c r="C7" i="4" s="1"/>
  <c r="E7" i="4" a="1"/>
  <c r="E7" i="4" s="1"/>
  <c r="F7" i="4" a="1"/>
  <c r="F7" i="4" s="1"/>
  <c r="B4" i="4" a="1"/>
  <c r="B4" i="4" s="1"/>
  <c r="B5" i="4" a="1"/>
  <c r="B5" i="4" s="1"/>
  <c r="B6" i="4" a="1"/>
  <c r="B6" i="4" s="1"/>
  <c r="B7" i="4" a="1"/>
  <c r="B7" i="4" s="1"/>
  <c r="B3" i="4" a="1"/>
  <c r="B3" i="4" s="1"/>
  <c r="A5" i="4"/>
  <c r="E5" i="4" s="1" a="1"/>
  <c r="E5" i="4" s="1"/>
  <c r="B26" i="6"/>
  <c r="B22" i="6"/>
  <c r="B21" i="6"/>
  <c r="B20" i="6"/>
  <c r="B19" i="6"/>
  <c r="B11" i="6"/>
  <c r="D5" i="6"/>
  <c r="E5" i="6"/>
  <c r="F5" i="6"/>
  <c r="G5" i="6"/>
  <c r="H5" i="6"/>
  <c r="I5" i="6"/>
  <c r="J5" i="6"/>
  <c r="K5" i="6"/>
  <c r="L5" i="6"/>
  <c r="C5" i="6"/>
  <c r="D3" i="6"/>
  <c r="E3" i="6"/>
  <c r="F3" i="6"/>
  <c r="G3" i="6"/>
  <c r="H3" i="6"/>
  <c r="I3" i="6"/>
  <c r="J3" i="6"/>
  <c r="K3" i="6"/>
  <c r="L3" i="6"/>
  <c r="C3" i="6"/>
  <c r="D2" i="6"/>
  <c r="E2" i="6"/>
  <c r="F2" i="6"/>
  <c r="G2" i="6"/>
  <c r="H2" i="6"/>
  <c r="I2" i="6"/>
  <c r="J2" i="6"/>
  <c r="K2" i="6"/>
  <c r="L2" i="6"/>
  <c r="C2" i="6"/>
  <c r="B15" i="5"/>
  <c r="B18" i="5" s="1"/>
  <c r="B16" i="5"/>
  <c r="B11" i="5"/>
  <c r="B8" i="5"/>
  <c r="C34" i="3"/>
  <c r="D19" i="3"/>
  <c r="E19" i="3"/>
  <c r="F19" i="3"/>
  <c r="G19" i="3"/>
  <c r="H19" i="3"/>
  <c r="I19" i="3" s="1"/>
  <c r="J19" i="3" s="1"/>
  <c r="K19" i="3" s="1"/>
  <c r="L19" i="3" s="1"/>
  <c r="C19" i="3"/>
  <c r="B38" i="3"/>
  <c r="B37" i="3"/>
  <c r="E8" i="3"/>
  <c r="F8" i="3" s="1"/>
  <c r="G8" i="3" s="1"/>
  <c r="H8" i="3" s="1"/>
  <c r="I8" i="3" s="1"/>
  <c r="J8" i="3" s="1"/>
  <c r="K8" i="3" s="1"/>
  <c r="D9" i="3"/>
  <c r="E9" i="3" s="1"/>
  <c r="F9" i="3" s="1"/>
  <c r="G9" i="3" s="1"/>
  <c r="H9" i="3" s="1"/>
  <c r="I9" i="3" s="1"/>
  <c r="J9" i="3" s="1"/>
  <c r="K9" i="3" s="1"/>
  <c r="D7" i="3"/>
  <c r="E7" i="3" s="1"/>
  <c r="F7" i="3" s="1"/>
  <c r="G7" i="3" s="1"/>
  <c r="H7" i="3" s="1"/>
  <c r="I7" i="3" s="1"/>
  <c r="J7" i="3" s="1"/>
  <c r="K7" i="3" s="1"/>
  <c r="D6" i="3"/>
  <c r="E6" i="3" s="1"/>
  <c r="F6" i="3" s="1"/>
  <c r="G6" i="3" s="1"/>
  <c r="H6" i="3" s="1"/>
  <c r="I6" i="3" s="1"/>
  <c r="J6" i="3" s="1"/>
  <c r="K6" i="3" s="1"/>
  <c r="B27" i="3"/>
  <c r="B31" i="3"/>
  <c r="B30" i="3"/>
  <c r="B22" i="3"/>
  <c r="B19" i="3"/>
  <c r="B20" i="3"/>
  <c r="C20" i="3" s="1"/>
  <c r="D20" i="3" s="1"/>
  <c r="E20" i="3" s="1"/>
  <c r="F20" i="3" s="1"/>
  <c r="G20" i="3" s="1"/>
  <c r="H20" i="3" s="1"/>
  <c r="I20" i="3" s="1"/>
  <c r="J20" i="3" s="1"/>
  <c r="K20" i="3" s="1"/>
  <c r="L20" i="3" s="1"/>
  <c r="B18" i="3"/>
  <c r="C18" i="3" s="1"/>
  <c r="D18" i="3" s="1"/>
  <c r="B17" i="3"/>
  <c r="C17" i="3" s="1"/>
  <c r="D3" i="3"/>
  <c r="E3" i="3" s="1"/>
  <c r="F3" i="3" s="1"/>
  <c r="G3" i="3" s="1"/>
  <c r="H3" i="3" s="1"/>
  <c r="I3" i="3" s="1"/>
  <c r="J3" i="3" s="1"/>
  <c r="K3" i="3" s="1"/>
  <c r="L3" i="3" s="1"/>
  <c r="F92" i="2"/>
  <c r="D92" i="2"/>
  <c r="C92" i="2"/>
  <c r="F91" i="2"/>
  <c r="C91" i="2"/>
  <c r="D91" i="2"/>
  <c r="F90" i="2"/>
  <c r="D90" i="2"/>
  <c r="C90" i="2"/>
  <c r="B83" i="2"/>
  <c r="C87" i="2"/>
  <c r="D87" i="2"/>
  <c r="E87" i="2"/>
  <c r="F87" i="2"/>
  <c r="G87" i="2"/>
  <c r="B87" i="2"/>
  <c r="C86" i="2"/>
  <c r="D86" i="2"/>
  <c r="E86" i="2"/>
  <c r="F86" i="2"/>
  <c r="G86" i="2"/>
  <c r="B86" i="2"/>
  <c r="C85" i="2"/>
  <c r="D85" i="2"/>
  <c r="E85" i="2"/>
  <c r="F85" i="2"/>
  <c r="G85" i="2"/>
  <c r="B85" i="2"/>
  <c r="C84" i="2"/>
  <c r="D84" i="2"/>
  <c r="E84" i="2"/>
  <c r="F84" i="2"/>
  <c r="G84" i="2"/>
  <c r="B84" i="2"/>
  <c r="C83" i="2"/>
  <c r="D83" i="2"/>
  <c r="E83" i="2"/>
  <c r="F83" i="2"/>
  <c r="G83" i="2"/>
  <c r="D80" i="2"/>
  <c r="E80" i="2"/>
  <c r="C80" i="2"/>
  <c r="G70" i="2"/>
  <c r="G71" i="2"/>
  <c r="G72" i="2"/>
  <c r="G73" i="2"/>
  <c r="G74" i="2"/>
  <c r="G75" i="2"/>
  <c r="G76" i="2"/>
  <c r="G77" i="2"/>
  <c r="G78" i="2"/>
  <c r="C72" i="2"/>
  <c r="D72" i="2"/>
  <c r="E72" i="2"/>
  <c r="F72" i="2"/>
  <c r="B72" i="2"/>
  <c r="G69" i="2"/>
  <c r="G25" i="2"/>
  <c r="B7" i="2"/>
  <c r="B9" i="2" s="1"/>
  <c r="B30" i="2"/>
  <c r="B31" i="2"/>
  <c r="B32" i="2"/>
  <c r="G26" i="2"/>
  <c r="G27" i="2"/>
  <c r="G28" i="2"/>
  <c r="G29" i="2"/>
  <c r="G23" i="2"/>
  <c r="G22" i="2"/>
  <c r="G13" i="2"/>
  <c r="G14" i="2"/>
  <c r="G15" i="2"/>
  <c r="G16" i="2"/>
  <c r="G17" i="2"/>
  <c r="G18" i="2"/>
  <c r="G19" i="2"/>
  <c r="G20" i="2"/>
  <c r="C32" i="2"/>
  <c r="D32" i="2"/>
  <c r="E32" i="2"/>
  <c r="F32" i="2"/>
  <c r="C31" i="2"/>
  <c r="D31" i="2"/>
  <c r="E31" i="2"/>
  <c r="F31" i="2"/>
  <c r="C30" i="2"/>
  <c r="D30" i="2"/>
  <c r="E30" i="2"/>
  <c r="F30" i="2"/>
  <c r="G8" i="2"/>
  <c r="G4" i="2"/>
  <c r="G5" i="2"/>
  <c r="G6" i="2"/>
  <c r="C7" i="2"/>
  <c r="D7" i="2"/>
  <c r="D10" i="2" s="1"/>
  <c r="E7" i="2"/>
  <c r="E9" i="2" s="1"/>
  <c r="F7" i="2"/>
  <c r="F10" i="2" s="1"/>
  <c r="G3" i="2"/>
  <c r="C5" i="4" l="1" a="1"/>
  <c r="C5" i="4" s="1"/>
  <c r="F5" i="4" a="1"/>
  <c r="F5" i="4" s="1"/>
  <c r="B17" i="5"/>
  <c r="B19" i="5" s="1"/>
  <c r="E18" i="3"/>
  <c r="F18" i="3" s="1"/>
  <c r="G18" i="3" s="1"/>
  <c r="H18" i="3" s="1"/>
  <c r="I18" i="3" s="1"/>
  <c r="J18" i="3" s="1"/>
  <c r="K18" i="3" s="1"/>
  <c r="L18" i="3" s="1"/>
  <c r="D17" i="3"/>
  <c r="C21" i="3"/>
  <c r="B21" i="3"/>
  <c r="G7" i="2"/>
  <c r="C10" i="2"/>
  <c r="G31" i="2"/>
  <c r="G32" i="2"/>
  <c r="G30" i="2"/>
  <c r="F9" i="2"/>
  <c r="D9" i="2"/>
  <c r="C9" i="2"/>
  <c r="G9" i="2"/>
  <c r="B46" i="2"/>
  <c r="C46" i="2"/>
  <c r="D46" i="2"/>
  <c r="E46" i="2"/>
  <c r="B48" i="2"/>
  <c r="C48" i="2"/>
  <c r="D48" i="2"/>
  <c r="E48" i="2"/>
  <c r="B59" i="2"/>
  <c r="C59" i="2"/>
  <c r="D59" i="2"/>
  <c r="E59" i="2"/>
  <c r="C6" i="6" l="1"/>
  <c r="C7" i="6" s="1"/>
  <c r="D6" i="6"/>
  <c r="D7" i="6" s="1"/>
  <c r="K6" i="6"/>
  <c r="K7" i="6" s="1"/>
  <c r="D2" i="4"/>
  <c r="E6" i="6"/>
  <c r="E7" i="6" s="1"/>
  <c r="J6" i="6"/>
  <c r="J7" i="6" s="1"/>
  <c r="F6" i="6"/>
  <c r="F7" i="6" s="1"/>
  <c r="G6" i="6"/>
  <c r="G7" i="6" s="1"/>
  <c r="H6" i="6"/>
  <c r="H7" i="6" s="1"/>
  <c r="B6" i="1"/>
  <c r="B12" i="6"/>
  <c r="I6" i="6"/>
  <c r="I7" i="6" s="1"/>
  <c r="L6" i="6"/>
  <c r="L7" i="6" s="1"/>
  <c r="C32" i="3"/>
  <c r="C30" i="3"/>
  <c r="C31" i="3"/>
  <c r="C27" i="3"/>
  <c r="C24" i="3"/>
  <c r="C22" i="3"/>
  <c r="E17" i="3"/>
  <c r="D21" i="3"/>
  <c r="D4" i="4" l="1" a="1"/>
  <c r="D4" i="4" s="1"/>
  <c r="D6" i="4" a="1"/>
  <c r="D6" i="4" s="1"/>
  <c r="D7" i="4" a="1"/>
  <c r="D7" i="4" s="1"/>
  <c r="D5" i="4" a="1"/>
  <c r="D5" i="4" s="1"/>
  <c r="D3" i="4" a="1"/>
  <c r="D3" i="4" s="1"/>
  <c r="B13" i="6"/>
  <c r="B9" i="6"/>
  <c r="D32" i="3"/>
  <c r="D30" i="3"/>
  <c r="C37" i="3"/>
  <c r="C38" i="3" s="1"/>
  <c r="C28" i="3"/>
  <c r="C29" i="3" s="1"/>
  <c r="C33" i="3" s="1"/>
  <c r="F17" i="3"/>
  <c r="E21" i="3"/>
  <c r="D31" i="3"/>
  <c r="D22" i="3"/>
  <c r="D27" i="3"/>
  <c r="B14" i="6" l="1"/>
  <c r="B15" i="6" s="1"/>
  <c r="B18" i="6"/>
  <c r="B23" i="6" s="1"/>
  <c r="B25" i="6" s="1"/>
  <c r="E32" i="3"/>
  <c r="E30" i="3"/>
  <c r="D37" i="3"/>
  <c r="D38" i="3" s="1"/>
  <c r="D28" i="3"/>
  <c r="D29" i="3" s="1"/>
  <c r="D33" i="3" s="1"/>
  <c r="D34" i="3" s="1"/>
  <c r="E31" i="3"/>
  <c r="E27" i="3"/>
  <c r="E22" i="3"/>
  <c r="G17" i="3"/>
  <c r="F21" i="3"/>
  <c r="A2" i="4" l="1"/>
  <c r="B27" i="6"/>
  <c r="E37" i="3"/>
  <c r="E38" i="3" s="1"/>
  <c r="E28" i="3"/>
  <c r="E29" i="3" s="1"/>
  <c r="E33" i="3" s="1"/>
  <c r="E34" i="3" s="1"/>
  <c r="F32" i="3"/>
  <c r="F30" i="3"/>
  <c r="H17" i="3"/>
  <c r="G21" i="3"/>
  <c r="F31" i="3"/>
  <c r="F27" i="3"/>
  <c r="F22" i="3"/>
  <c r="F37" i="3" l="1"/>
  <c r="F38" i="3" s="1"/>
  <c r="F28" i="3"/>
  <c r="G32" i="3"/>
  <c r="G30" i="3"/>
  <c r="F29" i="3"/>
  <c r="F33" i="3" s="1"/>
  <c r="F34" i="3" s="1"/>
  <c r="G31" i="3"/>
  <c r="G27" i="3"/>
  <c r="G22" i="3"/>
  <c r="I17" i="3"/>
  <c r="H21" i="3"/>
  <c r="G37" i="3" l="1"/>
  <c r="G38" i="3" s="1"/>
  <c r="G28" i="3"/>
  <c r="G29" i="3" s="1"/>
  <c r="G33" i="3" s="1"/>
  <c r="G34" i="3" s="1"/>
  <c r="H32" i="3"/>
  <c r="H30" i="3"/>
  <c r="J17" i="3"/>
  <c r="I21" i="3"/>
  <c r="H31" i="3"/>
  <c r="H27" i="3"/>
  <c r="H22" i="3"/>
  <c r="I32" i="3" l="1"/>
  <c r="I30" i="3"/>
  <c r="H28" i="3"/>
  <c r="H37" i="3"/>
  <c r="H38" i="3" s="1"/>
  <c r="H29" i="3"/>
  <c r="H33" i="3" s="1"/>
  <c r="H34" i="3" s="1"/>
  <c r="I27" i="3"/>
  <c r="I22" i="3"/>
  <c r="I31" i="3"/>
  <c r="K17" i="3"/>
  <c r="J21" i="3"/>
  <c r="I28" i="3" l="1"/>
  <c r="I29" i="3" s="1"/>
  <c r="I33" i="3" s="1"/>
  <c r="I34" i="3" s="1"/>
  <c r="I37" i="3"/>
  <c r="I38" i="3" s="1"/>
  <c r="J30" i="3"/>
  <c r="J32" i="3"/>
  <c r="J22" i="3"/>
  <c r="J31" i="3"/>
  <c r="J27" i="3"/>
  <c r="L17" i="3"/>
  <c r="L21" i="3" s="1"/>
  <c r="K21" i="3"/>
  <c r="L32" i="3" l="1"/>
  <c r="L30" i="3"/>
  <c r="J37" i="3"/>
  <c r="J38" i="3" s="1"/>
  <c r="J28" i="3"/>
  <c r="J29" i="3" s="1"/>
  <c r="J33" i="3" s="1"/>
  <c r="J34" i="3" s="1"/>
  <c r="K32" i="3"/>
  <c r="K30" i="3"/>
  <c r="K22" i="3"/>
  <c r="K27" i="3"/>
  <c r="K31" i="3"/>
  <c r="L22" i="3"/>
  <c r="L31" i="3"/>
  <c r="L27" i="3"/>
  <c r="L37" i="3" l="1"/>
  <c r="L38" i="3" s="1"/>
  <c r="L28" i="3"/>
  <c r="K37" i="3"/>
  <c r="K38" i="3" s="1"/>
  <c r="K28" i="3"/>
  <c r="K29" i="3" s="1"/>
  <c r="K33" i="3" s="1"/>
  <c r="K34" i="3" s="1"/>
  <c r="L29" i="3"/>
  <c r="L33" i="3" s="1"/>
  <c r="L34"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<sst xmlns="http://schemas.openxmlformats.org/spreadsheetml/2006/main" count="323" uniqueCount="272">
  <si>
    <t>FY23</t>
  </si>
  <si>
    <t>FY24</t>
  </si>
  <si>
    <t>FY25</t>
  </si>
  <si>
    <t>H1 25</t>
  </si>
  <si>
    <t>Revenue</t>
  </si>
  <si>
    <t>Deliveries</t>
  </si>
  <si>
    <t>Mobility</t>
  </si>
  <si>
    <t>Reported Total</t>
  </si>
  <si>
    <t>LTM Jun-26</t>
  </si>
  <si>
    <t>H1 26</t>
  </si>
  <si>
    <t>($m)</t>
  </si>
  <si>
    <t xml:space="preserve">Source/Notes </t>
  </si>
  <si>
    <t>FY23-FY25: FY25 20-F, Note 19 Revenue streams (p.F-53). H1 25 and H1 26: Q1 + Q2 from the Q1-26 (5 May 2026) and Q2-26 (4 Aug 2026) press releases, segment tables. LTM = FY25 + H1 26 - H1 25.</t>
  </si>
  <si>
    <t>FY23-FY25: FY25 20-F, Note 19 Revenue streams (p.F-53). H1 25 and H1 26: Q1 + Q2 from the Q1-26 and Q2-26 press releases, segment tables. LTM = FY25 + H1 26 - H1 25.</t>
  </si>
  <si>
    <t>FY23-FY25: FY25 20-F, Note 19 Revenue streams (p.F-53). H1 25 and H1 26: Q1 + Q2 from the Q1-26 and Q2-26 press releases, segment tables. H1 26 and LTM include Superbank from June 2026, so not like-for-like with earlier periods.</t>
  </si>
  <si>
    <t>FY23-FY25: FY25 20-F, Note 19 Revenue streams (p.F-53). H1 25 and H1 26: Q1 + Q2 from the Q1-26 and Q2-26 press releases, segment tables. Small amounts, rounded to $1m.</t>
  </si>
  <si>
    <t xml:space="preserve">Sum of above four segments </t>
  </si>
  <si>
    <t>FY23-FY25: FY25 20-F, Note 19 total (p.F-53). H1 25 and H1 26: six-month revenue in the Q2-26 press release income statement. LTM = FY25 + H1 26 - H1 25.</t>
  </si>
  <si>
    <t>Total revenue minus reported total. H1 26 segments sum to 1,952 vs 1,953 reported (rounding); the LTM column carries the same -1.</t>
  </si>
  <si>
    <t>Year-on-year change. FY23 growth not shown (FY22 not in this model). H1 26 growth is vs H1 25.</t>
  </si>
  <si>
    <t>FY23 as recast in later reports</t>
  </si>
  <si>
    <t>Operating profit/(loss)</t>
  </si>
  <si>
    <t>Share-based compensation</t>
  </si>
  <si>
    <t>M&amp;A costs</t>
  </si>
  <si>
    <t>Restructuring costs</t>
  </si>
  <si>
    <t>Legal, tax &amp; regulatory provisions</t>
  </si>
  <si>
    <t>Net other (Income)/expense</t>
  </si>
  <si>
    <t>Depreciation &amp; Amortization</t>
  </si>
  <si>
    <t>Day-1 credit loss on acquired loans</t>
  </si>
  <si>
    <t>FY23: FY24 20-F, Adjusted EBITDA reconciliation (p.137), 2023 as recast. FY24-FY25: Q4-25 press release (12 Feb 2026) and FY25 20-F reconciliation. H1 25 and H1 26: Q2-26 press release (4 Aug 2026), six-month columns. LTM = FY25 + H1 26 - H1 25.</t>
  </si>
  <si>
    <t>Same sources as operating profit. Sign follows Grab's reconciliation: negative = other income, which is deducted when moving from operating profit to adjusted EBITDA.</t>
  </si>
  <si>
    <t>Same sources as operating profit. Non-cash, added back in Grab's adjusted EBITDA.</t>
  </si>
  <si>
    <t>Same sources as operating profit. Non-cash, but a real cost to shareholders through dilution. Excluded from Grab's adjusted EBITDA; treated as a cost in my DCF.</t>
  </si>
  <si>
    <t>FY24 onwards: Q4-25 press release and Q2-26 press release. FY23 shown as 0 because FY23 M&amp;A costs were not split out in the FY24 20-F; they sit inside the legal, tax and regulatory provisions line. Grab began showing M&amp;A costs separately from Q1 2025 and re-presented FY24 (FY24 20-F showed 54 combined; later reports show 6 M&amp;A + 48 legal).</t>
  </si>
  <si>
    <t>New reconciling item from Q2-26 press release (4 Aug 2026): day-1 expected credit loss on an acquired loan portfolio, $15m. Not present in earlier periods, so FY23-H1 25 = 0.</t>
  </si>
  <si>
    <t>Same sources as operating profit.</t>
  </si>
  <si>
    <t>Same sources as operating profit. Negative = net release/reversal of provisions (FY25 and LTM), which reduces adjusted EBITDA. FY24 is 48 on the re-presented basis (54 as originally reported, including 6 M&amp;A costs).</t>
  </si>
  <si>
    <t>Adjusted EBITDA (reported)</t>
  </si>
  <si>
    <t>Total segment adj. EBITDA</t>
  </si>
  <si>
    <t>Financial Services</t>
  </si>
  <si>
    <t>Non-IFRS measure as reported by Grab: profit adjusted for finance items, tax, D&amp;A, share-based compensation, M&amp;A, impairment, restructuring, legal provisions and other items. FY23 as recast in FY24 20-F. Check row confirms the lines above sum to this.</t>
  </si>
  <si>
    <t>Profit and adjusted EBITDA bridge</t>
  </si>
  <si>
    <t>Bridge Check</t>
  </si>
  <si>
    <t>Segment Check</t>
  </si>
  <si>
    <t>Costs not attributed to any segment (central cloud/tech, R&amp;D, G&amp;A, marketing). Excludes share-based compensation and capitalised software. Same sources as the adjusted EBITDA reconciliation: FY23 FY24 20-F (recast); FY24-FY25 Q4-25 press release; H1 25 and H1 26 Q2-26 press release. Entered as a positive cost. Grew in H1 26 on staff, cloud and software costs.</t>
  </si>
  <si>
    <t>Sum of the four segment adjusted EBITDA figures, before regional corporate costs. Same sources as above. Total segment adj. EBITDA minus regional corporate costs = adjusted EBITDA.</t>
  </si>
  <si>
    <t>Segment adjusted EBITDA from the reconciliation in the sources above. Margin is measured against Deliveries GMV in Grab's reports, not revenue.</t>
  </si>
  <si>
    <t>Segment adjusted EBITDA from the reconciliation in the sources above. Grab's most profitable segment. Margin is measured against Mobility GMV in Grab's reports.</t>
  </si>
  <si>
    <t>Segment adjusted EBITDA from the reconciliation in the sources above. H1 26 and LTM include Superbank from June 2026 (not like-for-like with earlier periods). Loss reflects credit loss provisions as the loan book scales.</t>
  </si>
  <si>
    <t>Segment adjusted EBITDA from the reconciliation in the sources above. Small amounts.</t>
  </si>
  <si>
    <t>Financial services</t>
  </si>
  <si>
    <t>Others</t>
  </si>
  <si>
    <t>Total revenue</t>
  </si>
  <si>
    <t>Check</t>
  </si>
  <si>
    <t>Growth %</t>
  </si>
  <si>
    <t>Regional Corporate costs</t>
  </si>
  <si>
    <t>Corporate Check</t>
  </si>
  <si>
    <t>Operating profit plus all add-backs, minus reported adjusted EBITDA. Should be 0. Impairment (under $1m in every period) is excluded.</t>
  </si>
  <si>
    <t>Sum of the four segment adjusted EBITDA lines, minus reported total segment adjusted EBITDA. Should be 0.</t>
  </si>
  <si>
    <t>Total segment adjusted EBITDA, minus regional corporate costs, minus reported adjusted EBITDA. Should be 0.</t>
  </si>
  <si>
    <t>Blue = typed from reports, black = formula</t>
  </si>
  <si>
    <t>Dec-23</t>
  </si>
  <si>
    <t>Dec-24</t>
  </si>
  <si>
    <t>Dec-25</t>
  </si>
  <si>
    <t>Jun-26</t>
  </si>
  <si>
    <t>Balance sheet</t>
  </si>
  <si>
    <t>Period-end snapshots, so no LTM column. Figures entered as reported, with no adjustments. FY24 20-F = Form 20-F for the year ended 31 Dec 2024; FY25 20-F = Form 20-F for the year ended 31 Dec 2025. Page references give the printed page and then the PDF page; the press releases have no printed page numbers, so PDF page only.</t>
  </si>
  <si>
    <t>Cash and cash equivalents</t>
  </si>
  <si>
    <t>Dec-23 and Dec-24: FY24 20-F, consolidated statement of financial position (p.F-5, PDF p.194). Dec-25: FY25 20-F, consolidated statement of financial position (p.F-5, PDF p.149); same figure in the Q4-25 press release (PDF p.19). Jun-26: Q2-26 press release (4 Aug 2026), condensed statement of financial position (PDF p.15). Current assets.</t>
  </si>
  <si>
    <t>Other investments - current</t>
  </si>
  <si>
    <t>Dec-23 and Dec-24: FY24 20-F, consolidated statement of financial position (p.F-5, PDF p.194). Dec-25: FY25 20-F, consolidated statement of financial position (p.F-5, PDF p.149); same figure in the Q4-25 press release (PDF p.19). Jun-26: Q2-26 press release (4 Aug 2026), condensed statement of financial position (PDF p.15). "Other investments" line under current assets.</t>
  </si>
  <si>
    <t>Other investments - non-current</t>
  </si>
  <si>
    <t>Dec-23 and Dec-24: FY24 20-F, consolidated statement of financial position (p.F-5, PDF p.194). Dec-25: FY25 20-F, consolidated statement of financial position (p.F-5, PDF p.149); same figure in the Q4-25 press release (PDF p.18). Jun-26: Q2-26 press release (4 Aug 2026), condensed statement of financial position (PDF p.15). "Other investments" line under non-current assets.</t>
  </si>
  <si>
    <t>Loans &amp; borrowings - non-current</t>
  </si>
  <si>
    <t>Dec-23 and Dec-24: FY24 20-F, consolidated statement of financial position (p.F-5, PDF p.194). Dec-25: FY25 20-F, consolidated statement of financial position (p.F-5, PDF p.149); same figure in the Q4-25 press release (PDF p.19). Jun-26: Q2-26 press release (4 Aug 2026), condensed statement of financial position (PDF p.16). "Loans and borrowings" line under non-current liabilities. Includes lease liabilities (FY24 20-F Note 14, p.F-42; FY25 20-F Note 13, p.F-41).</t>
  </si>
  <si>
    <t>Loans &amp; borrowings - current</t>
  </si>
  <si>
    <t>Dec-23 and Dec-24: FY24 20-F, consolidated statement of financial position (p.F-5, PDF p.194). Dec-25: FY25 20-F, consolidated statement of financial position (p.F-5, PDF p.149); same figure in the Q4-25 press release (PDF p.19). Jun-26: Q2-26 press release (4 Aug 2026), condensed statement of financial position (PDF p.16). "Loans and borrowings" line under current liabilities. Includes lease liabilities and, at Dec-25, the convertible notes (FY25 20-F Note 13, p.F-41).</t>
  </si>
  <si>
    <t>of which convertible notes</t>
  </si>
  <si>
    <t>Customer deposits (banking)</t>
  </si>
  <si>
    <t>Dec-23 and Dec-24: FY24 20-F, consolidated statement of financial position (p.F-5, PDF p.194). Dec-25: FY25 20-F, consolidated statement of financial position (p.F-5, PDF p.149); same figure in the Q4-25 press release (PDF p.19). Jun-26: Q2-26 press release (4 Aug 2026), condensed statement of financial position (PDF p.16). Reported caption: "Deposits from customers in the banking business", all within current liabilities.</t>
  </si>
  <si>
    <t>Non-controlling interests</t>
  </si>
  <si>
    <t>Dec-23 and Dec-24: FY24 20-F, consolidated statement of financial position (p.F-5, PDF p.194). Dec-25: FY25 20-F, consolidated statement of financial position (p.F-5, PDF p.149); same figure in the Q4-25 press release (PDF p.19). Jun-26: Q2-26 press release (4 Aug 2026), condensed statement of financial position (PDF p.16). Within equity. Dec-24 is negative as reported: (48).</t>
  </si>
  <si>
    <t>Total equity</t>
  </si>
  <si>
    <t>Dec-23 and Dec-24: FY24 20-F, consolidated statement of financial position (p.F-5, PDF p.194). Dec-25: FY25 20-F, consolidated statement of financial position (p.F-5, PDF p.149); same figure in the Q4-25 press release (PDF p.19). Jun-26: Q2-26 press release (4 Aug 2026), condensed statement of financial position (PDF p.16). Reported "Total equity", which includes non-controlling interests.</t>
  </si>
  <si>
    <t>Total loans &amp; borrowings</t>
  </si>
  <si>
    <t>Non-current plus current loans and borrowings.</t>
  </si>
  <si>
    <t>Reported loans &amp; borrowings</t>
  </si>
  <si>
    <t>Total loans and borrowings minus the reported total. Should be 0. Jun-26 shows n/a because there is no reported total to check against.</t>
  </si>
  <si>
    <t>(millions)</t>
  </si>
  <si>
    <t>Shares</t>
  </si>
  <si>
    <t>Period-end share counts. The 20-Fs report in thousands of shares; entered here in millions. Jun-26 figures come from a sentence in the Q2-26 press release and are given to the nearest million only.</t>
  </si>
  <si>
    <t>Class A shares outstanding</t>
  </si>
  <si>
    <t>Dec-23 (3,813,341 thousand) and Dec-24 (3,950,499 thousand): FY24 20-F, Note 12(i) Share capital and share premium, "In issue at December 31 - fully paid" (p.F-40, PDF p.229). Dec-25 (3,969,291 thousand): FY25 20-F, Note 11(i) (p.F-39, PDF p.183); the Q4-25 press release gives 3,969 million (PDF p.18). Jun-26: Q2-26 press release, 3,974 million (PDF p.15).</t>
  </si>
  <si>
    <t>Class B shares outstanding</t>
  </si>
  <si>
    <t>Same sources and pages as Class A. Dec-23 110,066, Dec-24 114,879 and Dec-25 120,194 thousand are the "In issue at December 31 - fully paid" line. This is the basis the press releases call "outstanding" (115 million at Dec-24 and 120 million at Dec-25, Q4-25 press release PDF p.18) and the only basis reported for Jun-26 (105 million, Q2-26 press release PDF p.15). The 20-Fs also report Class B "In issue at December 31" before deducting restricted shares issued but not fully vested: 120,403 (Dec-23), 119,799 (Dec-24) and 128,356 (Dec-25) thousand; the 20-F cover pages use that higher figure. Not used here, so the row is on one basis across all four dates.</t>
  </si>
  <si>
    <t>Total outstanding</t>
  </si>
  <si>
    <t>Class A plus Class B. The files give no reported total at these dates, so there is no check row.</t>
  </si>
  <si>
    <t>Dec-23 (343,035 thousand) and Dec-24 (222,491 thousand): FY24 20-F, Note 23 Loss per share, total of potentially dilutive outstanding securities excluded from diluted loss per share (p.F-56, PDF p.245). Dec-25 (269,026 thousand): FY25 20-F, Note 22(ii), same table (p.F-56, PDF p.200); the Q4-25 press release gives 269 million (PDF p.18). The Dec-25 total includes 229,008 thousand for the convertible notes and is the securities EXCLUDED from diluted EPS; a further 113,934 thousand (options 10,259, RSUs and restricted shares 101,947, ESPP 1,728) was included in the FY25 diluted weighted average and is not in this figure. Jun-26: Q2-26 press release (PDF p.15) says 518 million potentially dilutive securities "have been considered for the computation of diluted earnings per ordinary share for the three months ended June 30, 2026". No breakdown is given, and it relates to the quarter rather than a 30 June balance, so it may not be like-for-like with the 20-F figures.</t>
  </si>
  <si>
    <t>Weighted-average shares</t>
  </si>
  <si>
    <t>Weighted-average ordinary shares outstanding used for earnings per share. Reported in thousands; entered in millions. No LTM column and no check row: the files give nothing further to tie these to.</t>
  </si>
  <si>
    <t>Basic</t>
  </si>
  <si>
    <t>FY23 (3,894,724 thousand) and FY24 (3,995,237 thousand): FY24 20-F, Note 23 Loss per share (p.F-56, PDF p.245). FY25 (4,092,151 thousand): FY25 20-F, Note 22(i) (p.F-55, PDF p.199); same in the Q4-25 press release (PDF p.18). H1 25 (4,099,960 thousand) and H1 26 (4,088,747 thousand): Q2-26 press release, six months ended June 30 columns (PDF p.15).</t>
  </si>
  <si>
    <t>Diluted</t>
  </si>
  <si>
    <t>FY23 and FY24: the FY24 20-F Note 23 (p.F-56, PDF p.245) prints no separate diluted share count and states that basic and diluted loss per share were the same because of the loss. The FY25 20-F, Note 22(ii) prints the diluted weighted average for 2023 and 2024 as 3,894,724 and 3,995,237 thousand, equal to basic (p.F-56, PDF p.200); those are the figures entered. FY25 (4,206,085 thousand): same table; same in the Q4-25 press release (PDF p.18). H1 25 (4,201,469 thousand) and H1 26 (4,398,185 thousand): Q2-26 press release, six months ended June 30 columns (PDF p.15).</t>
  </si>
  <si>
    <t>Potentially dilutive securities excluded from diluted EPS (bases differ, see note)</t>
  </si>
  <si>
    <t>Memo Items</t>
  </si>
  <si>
    <t>Lease liabilities within borrowings ($m)</t>
  </si>
  <si>
    <t>Gross cash liquidity, reported ($bn)</t>
  </si>
  <si>
    <t>Net cash liquidity, reported ($bn)</t>
  </si>
  <si>
    <t>Grab's non-IFRS measure, reported in $bn (rounded): cash on hand, short and long-term time deposits, marketable securities and restricted cash. Dec-24 and Dec-25: Q4-25 press release. Jun-26: Q2-26 press release. Dec-23 not entered.</t>
  </si>
  <si>
    <t>Units: $m unless stated; shares in millions; liquidity memo in $bn</t>
  </si>
  <si>
    <t>($M)</t>
  </si>
  <si>
    <t>Cash Flow</t>
  </si>
  <si>
    <t>Operating cash flow</t>
  </si>
  <si>
    <t>Purchase of PP&amp;E</t>
  </si>
  <si>
    <t>Cash capex</t>
  </si>
  <si>
    <t>Capex incl. leased assets</t>
  </si>
  <si>
    <t>Lease payments</t>
  </si>
  <si>
    <t>Memo: Adjusted free cash flow as reported</t>
  </si>
  <si>
    <t>FY23: FY24 20-F cash flow statement (p.F-10). FY24-FY25: Q4-25 press release and FY25 20-F cash flow statement. H1 25 and H1 26: Q2-26 press release, six-month columns. LTM = FY25 + H1 26 - H1 25. Distorted by lending and deposit movements below; not used directly in the DCF.</t>
  </si>
  <si>
    <t>Same sources as operating cash flow. Outflows shown as negatives.</t>
  </si>
  <si>
    <t>Formula: purchase of PP&amp;E plus purchase of intangibles. Excludes assets acquired under lease arrangements.</t>
  </si>
  <si>
    <t>Grab's capital expenditure definition in its Adjusted Free Cash Flow table; includes assets acquired using lease arrangements (vehicles). FY23: FY24 20-F Adjusted Free Cash Flow table. FY24-FY25 and H1: press releases. Use either this or cash capex consistently in the model, not both.</t>
  </si>
  <si>
    <t>Lending and bank-deposit movements from the cash flow statement. Included in operating cash flow, so they distort it. A negative loan figure means cash lent out; a positive deposit figure means cash received from customers</t>
  </si>
  <si>
    <t>Grab's non-IFRS measure as reported. Not comparable over time: from 2025 it includes PP&amp;E disposal proceeds; from Q2 2026 it also excludes treasury liquidity movements in Financial Services. FY24 is the re-presented 162 (136 as originally reported). FY23 and LTM left blank for the same reason.</t>
  </si>
  <si>
    <t>Operating cash flow + capex incl. leased assets + disposal proceeds - loan receivables movement - deposit movement - reported AFCF. Should be 0. Not shown for H1 26 because of the Q2 2026 definition change (treasury liquidity, -95).</t>
  </si>
  <si>
    <t>Purchase of intangibles</t>
  </si>
  <si>
    <t>Proceeds from PP&amp;E disposals</t>
  </si>
  <si>
    <t>Change in loan receivables</t>
  </si>
  <si>
    <t>Change in customer deposits</t>
  </si>
  <si>
    <t>Share buybacks</t>
  </si>
  <si>
    <t>AFCF Check</t>
  </si>
  <si>
    <t>Ratios</t>
  </si>
  <si>
    <t>Operating Margin</t>
  </si>
  <si>
    <t>Adjusted EBITDA Margin</t>
  </si>
  <si>
    <t>Share-based compensation % revenue</t>
  </si>
  <si>
    <t>D&amp;A % revenue</t>
  </si>
  <si>
    <t xml:space="preserve">Capex incl. leased assets % revenue </t>
  </si>
  <si>
    <t xml:space="preserve">Segment revenue growth </t>
  </si>
  <si>
    <t>Grab DCF Forecast</t>
  </si>
  <si>
    <t>Year (used later for discounting)</t>
  </si>
  <si>
    <t>Assumptions</t>
  </si>
  <si>
    <t>Deliveries growth %</t>
  </si>
  <si>
    <t>Mobility growth %</t>
  </si>
  <si>
    <t>Financial services growth %</t>
  </si>
  <si>
    <t>Tax rate</t>
  </si>
  <si>
    <t>D&amp;A % of revenue</t>
  </si>
  <si>
    <t>Capex % of revenue (incl. leased assets)</t>
  </si>
  <si>
    <t>Revenue ($m)</t>
  </si>
  <si>
    <t>Total Revenue</t>
  </si>
  <si>
    <t>FY26 revenue guidance, midpoint ($m)</t>
  </si>
  <si>
    <t>Forecast vs guidance</t>
  </si>
  <si>
    <t>Free Cash Flow ($m)</t>
  </si>
  <si>
    <t>Operating profit (after SBC)</t>
  </si>
  <si>
    <t>Tax</t>
  </si>
  <si>
    <t>Operating profit after tax</t>
  </si>
  <si>
    <t>Free cash flow</t>
  </si>
  <si>
    <t>FCF % of revenue</t>
  </si>
  <si>
    <t>FY25A</t>
  </si>
  <si>
    <t>FY26E</t>
  </si>
  <si>
    <t>FY27E</t>
  </si>
  <si>
    <t>FY28E</t>
  </si>
  <si>
    <t>FY29E</t>
  </si>
  <si>
    <t>FY30E</t>
  </si>
  <si>
    <t>FY31E</t>
  </si>
  <si>
    <t>FY32E</t>
  </si>
  <si>
    <t>FY33E</t>
  </si>
  <si>
    <t>FY34E</t>
  </si>
  <si>
    <t>FY35E</t>
  </si>
  <si>
    <t>Implied adjusted EBITDA</t>
  </si>
  <si>
    <t>Implied adjusted EBITDA margin</t>
  </si>
  <si>
    <t>Operating margin % (after share-based comp)</t>
  </si>
  <si>
    <t>Blended statutory rate across Grab's markets (about 17%-25%); FY25 effective rate was about 26%</t>
  </si>
  <si>
    <t>Held at the FY25 and LTM level of about 5.5% of revenue.</t>
  </si>
  <si>
    <t>Held at FY25 and LTM level of about 5.6%, including leased assets.</t>
  </si>
  <si>
    <t>Roughly zero historically; 0.5% is a cautious allowance for growth</t>
  </si>
  <si>
    <t>LTM was 6.4% and falling; memo for the adjusted EBITDA cross-check only.</t>
  </si>
  <si>
    <t>Notes</t>
  </si>
  <si>
    <t>Working capital investment % of revenue</t>
  </si>
  <si>
    <t>Share-based comp % of revenue (memo)</t>
  </si>
  <si>
    <t>+D&amp;A</t>
  </si>
  <si>
    <t>- Capex</t>
  </si>
  <si>
    <t>- Working Capital</t>
  </si>
  <si>
    <t>FY26E 21%: H1 26 and Q2 26 run-rate (22% and 21%), consistent with guidance; fades to 5% by FY35E toward regional nominal GDP</t>
  </si>
  <si>
    <t>FY26E 13%: between H1 26 (15.8%) and Q2 26 (12%) as Mobility slows; fades to 5%</t>
  </si>
  <si>
    <t>FY26E 60% includes Superbank and Stash consolidation, back-solved from guidance; FY27E 30% organic; fades to 5%</t>
  </si>
  <si>
    <t>FY26E 4.0%: guidance adjusted EBITDA less D&amp;A, SBC and one-offs; FY35E 15%: management's 2028 target reached seven years later</t>
  </si>
  <si>
    <t>Source: Grab Q2 2026 press release, 4 Aug 2026; FY26 revenue guidance $4.10bn to $4.15bn, midpoint</t>
  </si>
  <si>
    <t>Cross-check</t>
  </si>
  <si>
    <t>WACC</t>
  </si>
  <si>
    <t>Risk-free rate</t>
  </si>
  <si>
    <t>Beta</t>
  </si>
  <si>
    <t>Cost of equity</t>
  </si>
  <si>
    <t>Pre-tax cost of debt</t>
  </si>
  <si>
    <t>After-tax cost of debt</t>
  </si>
  <si>
    <t>share price ($)</t>
  </si>
  <si>
    <t>Equity value ($m)</t>
  </si>
  <si>
    <t>E/(D+E)</t>
  </si>
  <si>
    <t>D/(D+E)</t>
  </si>
  <si>
    <t>Risk-free rate plus 2.0% credit spread (estimate; Grab's rating not verified). Grab's stated borrowing rates (bank loans about 2.6% weighted, leases 3.6% to 12.5%) are in local currencies and the $1.5bn convertible is zero coupon, so they understate a USD cost of debt. Source: FY25 20-F, loans and borrowings note</t>
  </si>
  <si>
    <t>Country risk premium (SEA)</t>
  </si>
  <si>
    <t>Grab Holdings Ltd (GRAB) closing price on 6th October</t>
  </si>
  <si>
    <t>Damodaran's January 2026 mature-market equity risk premium</t>
  </si>
  <si>
    <t>Bottom-up beta, not Grab's own regression beta. Damodaran Jan 2026 global Software (Internet): levered 1.39, unlevered 1.30 (1.34 ex-cash). Rounded to 1.3 and not relevered upward because Grab holds net cash (gross cash liquidity about $7.4bn vs borrowings about $2.0bn). Observed 5-year monthly regression beta of 0.91 (Yahoo Finance) rejected: under 60 observations since the late-2021 listing and unstable across providers (0.83 to 1.40).</t>
  </si>
  <si>
    <t>Share price (B14) x total shares outstanding at 30 June 2026 of 4,079m (Class A 3,974m + Class B 105m), from the Q2 2026 press release (4 Aug 2026); see Historicals row 59. Basic shares only: options, RSUs and the convertible notes are not included. The $351m ASR and forward share purchases were fully completed in July 2026, so the true count is slightly lower.</t>
  </si>
  <si>
    <t>Total loans and borrowings at 30 June 2026: non-current 409 + current 1,624 = 2,033 ($m), from the statement of financial position in the Q2 2026 press release; see Historicals row 46. Includes lease liabilities, bank loans and the $1.5bn zero-coupon convertible notes due 2030 (carried at about 1,502 at Dec-25, including the embedded conversion option). Excludes customer deposits in the banking business (2,513), which fund the lending business, not Grab's operations.</t>
  </si>
  <si>
    <t>10-year US Treasury constant maturity yield, 5 Oct 2026, 5.31% (FRED DGS10 / Federal Reserve H.15). Market close on 6 Oct was about 5.27%</t>
  </si>
  <si>
    <t>FY25 revenue by country (FY25 20-F) times Damodaran's January 2026 country premiums, with Rest of SEA (0.9% of revenue) excluded</t>
  </si>
  <si>
    <t>Equity risk premium (mature market)</t>
  </si>
  <si>
    <t>Debt ($m)</t>
  </si>
  <si>
    <t>Year</t>
  </si>
  <si>
    <t>Discount factor</t>
  </si>
  <si>
    <t>Present value of free cash flow</t>
  </si>
  <si>
    <t>Sum of PV of FCF</t>
  </si>
  <si>
    <t>Terminal growth rate</t>
  </si>
  <si>
    <t>Terminal value</t>
  </si>
  <si>
    <t>Enterprise value</t>
  </si>
  <si>
    <t>FY35E FCF grown one year</t>
  </si>
  <si>
    <t>PV of terminal value</t>
  </si>
  <si>
    <t>Value per share ($)</t>
  </si>
  <si>
    <t>Current share price ($)</t>
  </si>
  <si>
    <t>Bridge to value per share ($m)</t>
  </si>
  <si>
    <t>Diluted shares (m)</t>
  </si>
  <si>
    <t>Upside/(downside)</t>
  </si>
  <si>
    <t>Reported gross cash liquidity, Jun-26 ($7.4bn); includes cash that backs customer deposits</t>
  </si>
  <si>
    <t>Deducted because deposits fund the banking business and the lending, and the cash behind them isn’t Grab’s.</t>
  </si>
  <si>
    <t>Includes the $1.5bn zero-coupon convertible notes (treated as debt: share price far below the ~$6.55 conversion price) and lease liabilities</t>
  </si>
  <si>
    <t>Book value at Jun-26; mostly Superbank minorities. A rough proxy for their share of value</t>
  </si>
  <si>
    <t>Q2 2026 diluted weighted-average shares (press release); an approximation, as July buybacks aren’t fully reflected</t>
  </si>
  <si>
    <t>Equity value</t>
  </si>
  <si>
    <t>Terminal value as % of enterprise value</t>
  </si>
  <si>
    <t>Add: Gross cash liquidity</t>
  </si>
  <si>
    <t>Less: Customer deposits (banking)</t>
  </si>
  <si>
    <t>Less: Loans &amp; borrowings (incl. convertibles, leases)</t>
  </si>
  <si>
    <t>Less: Non-controlling interests</t>
  </si>
  <si>
    <t>WACC →, Terminal growth ↓</t>
  </si>
  <si>
    <t>Value per share ($) – sensitivity to WACC and terminal growth</t>
  </si>
  <si>
    <t>Current share price: $3.07  - No cell reaches the current price; the highest is $2.93</t>
  </si>
  <si>
    <t>Grab DCF model</t>
  </si>
  <si>
    <r>
      <t xml:space="preserve">Colour key: </t>
    </r>
    <r>
      <rPr>
        <sz val="12"/>
        <color theme="4"/>
        <rFont val="Aptos Narrow (Body)"/>
      </rPr>
      <t>blue = typed input</t>
    </r>
    <r>
      <rPr>
        <sz val="12"/>
        <color theme="1"/>
        <rFont val="Aptos Narrow"/>
        <family val="2"/>
        <scheme val="minor"/>
      </rPr>
      <t xml:space="preserve">, black = formula, </t>
    </r>
    <r>
      <rPr>
        <sz val="12"/>
        <color theme="9"/>
        <rFont val="Aptos Narrow (Body)"/>
      </rPr>
      <t>green = link to another tab</t>
    </r>
  </si>
  <si>
    <t>Grab Holdings Form 20-F for FY2024 and FY2025 (historical financials, segment revenue, share counts, debt note).</t>
  </si>
  <si>
    <t>Grab quarterly earnings press releases: Q3 2025, Q4 2025, Q1 2026, Q2 2026 (LTM figures, Jun-26 balance sheet, guidance).</t>
  </si>
  <si>
    <t>Damodaran (NYU Stern), January 2026 data: equity risk premium, country risk premiums, industry betas.</t>
  </si>
  <si>
    <t>US Treasury 10-year yield, 5 Oct 2026 (FRED / Federal Reserve H.15).</t>
  </si>
  <si>
    <t>Grab share price (GRAB), closing price on 6 Oct 2026.</t>
  </si>
  <si>
    <t>Sources</t>
  </si>
  <si>
    <t xml:space="preserve">Key assumptions </t>
  </si>
  <si>
    <t>Deliveries growth, FY26E</t>
  </si>
  <si>
    <t>Deliveries growth, FY35E</t>
  </si>
  <si>
    <t>Financial services growth, FY26E</t>
  </si>
  <si>
    <t>Financial services growth, FY35E</t>
  </si>
  <si>
    <t>Operating margin (after SBC) FY26E</t>
  </si>
  <si>
    <t>Operating margin (after SBC) FY35E</t>
  </si>
  <si>
    <t xml:space="preserve">Share price used </t>
  </si>
  <si>
    <t>Mobility growth, FY26E</t>
  </si>
  <si>
    <t>Mobility growth, FY35E</t>
  </si>
  <si>
    <t>Known limitations</t>
  </si>
  <si>
    <t>The forecast is deliberately cautious. FY26E and FY28E are below management’s guidance and its $1.5bn adjusted EBITDA target, because the model uses operating profit after share-based pay and not adjusted EBITDA.</t>
  </si>
  <si>
    <t>Diluted shares are approximated by the Q2 2026 diluted weighted average (4,168m). Options, RSUs and July buybacks aren’t separately modelled.</t>
  </si>
  <si>
    <t>Tax is a flat 22% blended rate. Tax-loss carry-forwards are ignored.</t>
  </si>
  <si>
    <t>Superbank was consolidated from June 2026, so the recent history isn’t like-for-like.</t>
  </si>
  <si>
    <t>The beta is a bottom-up industry figure, not Grab’s own regression beta.</t>
  </si>
  <si>
    <t>Cost of debt uses a risk-free-plus-2% credit spread. Grab’s credit rating wasn’t checked.</t>
  </si>
  <si>
    <t>The banking loan book isn't forecast or valued, although customer deposits are deducted making the result slightly conservative.</t>
  </si>
  <si>
    <t>Share price  $3.07 as of the 6th of October 2026,  units in ($m) unless stated otherwise</t>
  </si>
  <si>
    <t>Grab's non-IFRS measure: gross cash liquidity less loans and borrowings, in $bn (rounded). Dec-25: Q4-25 press release. Jun-26: Q2-26 press release. Dec-24 and Dec-23 not entered. Includes cash that backs customer deposits.</t>
  </si>
  <si>
    <t>Total carrying amount in the terms and debt repayment schedule. Dec-23 (793) and Dec-24 (364): FY24 20-F, Note 14(i) (p.F-43, PDF p.232). Dec-25 (2,053): FY25 20-F, Note 13(i) (p.F-42, PDF p.186). Jun-26: not disclosed in the Q2-26 press release. The Q2-26 press release has no loans and borrowings note or total, so the cell is left blank.</t>
  </si>
  <si>
    <t>Dec-25: FY25 20-F, Note 13 Loans and borrowings, "Convertible notes (including embedded derivative)" = 1,502, shown within current (p.F-41, PDF p.185). Per Note 13(ii) this is a host liability of 1,042 plus an embedded derivative of 460; principal is 1,500 (p.F-43, PDF p.187). Dec-23 and Dec-24: the FY24 20-F Note 14 (p.F-42, PDF p.231) has no convertible notes line; the FY25 20-F indebtedness table reports "-" for both 2024 and 2023 (p.102, PDF p.105), so 0 is entered as reported. Jun-26: not disclosed in the Q2-26 press release. The Q2-26 press release shows loans and borrowings as two lines only and does not split out the convertible notes, so the cell is left blank.</t>
  </si>
  <si>
    <t xml:space="preserve"> Memo Only: Lease liabilities already included in total loans and borrowings above (non-current + current); do not add again. Dec-24 (125 + 33) and Dec-25 (185 + 49): FY25 20-F, Note 13 Loans and borrowings. Dec-23: FY24 20-F debt note, not entered. Jun-26: not in the Q2-26 press release</t>
  </si>
  <si>
    <t>Same sources as operating cash flow. Cash received from selling PP&amp;E, so an inflow shown as a positive number (unlike the purchases above, which are negative). Added back in Grab’s capital expenditure definition</t>
  </si>
  <si>
    <t>Credit spread over risk-free rate</t>
  </si>
  <si>
    <t>FY26 cash flows are discounted as if they were a full year ahead despite it being October. Using the Jun-26 balance sheet against an October share price adds a small timing mismatch.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</si>
</sst>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8" formatCode="0.0%"/>
    <numFmt numFmtId="183" formatCode="0.0"/>
    <numFmt numFmtId="184" formatCode="0.000"/>
    <numFmt numFmtId="188" formatCode="_(* #,##0_);_(* \(#,##0\);_(* &quot;-&quot;??_);_(@_)"/>
  </numFmts>
  <fonts count="9" x14ac:knownFonts="1">
    <font>
      <sz val="12"/>
      <color theme="1"/>
      <name val="Aptos Narrow"/>
      <family val="2"/>
      <scheme val="minor"/>
    </font>
    <font>
      <sz val="12"/>
      <color theme="1"/>
      <name val="Aptos Narrow"/>
      <family val="2"/>
      <scheme val="minor"/>
    </font>
    <font>
      <b/>
      <sz val="12"/>
      <color theme="1"/>
      <name val="Aptos Narrow"/>
      <scheme val="minor"/>
    </font>
    <font>
      <sz val="12"/>
      <color theme="1"/>
      <name val="Aptos Narrow"/>
      <scheme val="minor"/>
    </font>
    <font>
      <sz val="12"/>
      <color theme="4"/>
      <name val="Aptos Narrow"/>
      <family val="2"/>
      <scheme val="minor"/>
    </font>
    <font>
      <sz val="12"/>
      <color theme="9"/>
      <name val="Aptos Narrow"/>
      <family val="2"/>
      <scheme val="minor"/>
    </font>
    <font>
      <sz val="12"/>
      <color theme="4"/>
      <name val="Aptos Narrow (Body)"/>
    </font>
    <font>
      <sz val="12"/>
      <color theme="9"/>
      <name val="Aptos Narrow (Body)"/>
    </font>
    <font>
      <b/>
      <sz val="16"/>
      <color theme="1"/>
      <name val="Aptos Narrow (Body)"/>
    </font>
  </fonts>
  <fills count="4">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41">
    <xf numFmtId="0" fontId="0" fillId="0" borderId="0" xfId="0"/>
    <xf numFmtId="0" fontId="2" fillId="0" borderId="0" xfId="0" applyFont="1"/>
    <xf numFmtId="3" fontId="0" fillId="0" borderId="0" xfId="0" applyNumberFormat="1"/>
    <xf numFmtId="9" fontId="0" fillId="0" borderId="0" xfId="1" applyFont="1"/>
    <xf numFmtId="0" fontId="3" fillId="0" borderId="0" xfId="0" applyFont="1"/>
    <xf numFmtId="3" fontId="4" fillId="0" borderId="0" xfId="0" applyNumberFormat="1" applyFont="1"/>
    <xf numFmtId="0" fontId="4" fillId="0" borderId="0" xfId="0" applyFont="1"/>
    <xf numFmtId="164" fontId="4" fillId="0" borderId="0" xfId="0" applyNumberFormat="1" applyFont="1"/>
    <xf numFmtId="164" fontId="0" fillId="0" borderId="0" xfId="0" applyNumberFormat="1"/>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168" fontId="0" fillId="0" borderId="0" xfId="1" applyNumberFormat="1" applyFont="1"/>
    <xf numFmtId="10" fontId="0" fillId="0" borderId="0" xfId="1" applyNumberFormat="1" applyFont="1"/>
    <xf numFmtId="9" fontId="0" fillId="0" borderId="0" xfId="0" applyNumberFormat="1"/>
    <xf numFmtId="3" fontId="5" fillId="0" borderId="0" xfId="0" applyNumberFormat="1" applyFont="1"/>
    <xf numFmtId="168" fontId="4" fillId="0" borderId="0" xfId="0" applyNumberFormat="1" applyFont="1"/>
    <xf numFmtId="168" fontId="0" fillId="0" borderId="0" xfId="0" applyNumberFormat="1"/>
    <xf numFmtId="10" fontId="0" fillId="0" borderId="0" xfId="0" applyNumberFormat="1"/>
    <xf numFmtId="10" fontId="4" fillId="0" borderId="0" xfId="0" applyNumberFormat="1" applyFont="1"/>
    <xf numFmtId="1" fontId="0" fillId="0" borderId="0" xfId="0" applyNumberFormat="1"/>
    <xf numFmtId="184" fontId="0" fillId="0" borderId="0" xfId="0" applyNumberFormat="1"/>
    <xf numFmtId="2" fontId="0" fillId="0" borderId="0" xfId="0" applyNumberFormat="1"/>
    <xf numFmtId="0" fontId="0" fillId="0" borderId="0" xfId="0" quotePrefix="1"/>
    <xf numFmtId="188" fontId="0" fillId="0" borderId="0" xfId="2" applyNumberFormat="1" applyFont="1"/>
    <xf numFmtId="168" fontId="5" fillId="0" borderId="0" xfId="0" applyNumberFormat="1" applyFont="1"/>
    <xf numFmtId="3" fontId="0" fillId="0" borderId="0" xfId="2" applyNumberFormat="1" applyFont="1"/>
    <xf numFmtId="183" fontId="4" fillId="0" borderId="0" xfId="1" applyNumberFormat="1" applyFont="1"/>
    <xf numFmtId="9" fontId="5" fillId="0" borderId="0" xfId="1" applyFont="1"/>
    <xf numFmtId="0" fontId="5" fillId="0" borderId="0" xfId="0" applyFont="1"/>
    <xf numFmtId="188" fontId="3" fillId="0" borderId="0" xfId="2" applyNumberFormat="1" applyFont="1"/>
    <xf numFmtId="0" fontId="0" fillId="0" borderId="0" xfId="0" quotePrefix="1" applyNumberFormat="1"/>
    <xf numFmtId="3" fontId="5" fillId="0" borderId="0" xfId="2" applyNumberFormat="1" applyFont="1"/>
    <xf numFmtId="2" fontId="5" fillId="2" borderId="0" xfId="0" applyNumberFormat="1" applyFont="1" applyFill="1"/>
    <xf numFmtId="10" fontId="5" fillId="0" borderId="0" xfId="0" applyNumberFormat="1" applyFont="1"/>
    <xf numFmtId="2" fontId="0" fillId="3" borderId="0" xfId="0" applyNumberFormat="1" applyFill="1"/>
    <xf numFmtId="168" fontId="5" fillId="0" borderId="0" xfId="1" applyNumberFormat="1" applyFont="1"/>
    <xf numFmtId="10" fontId="5" fillId="0" borderId="0" xfId="1" applyNumberFormat="1" applyFont="1" applyAlignment="1"/>
    <xf numFmtId="2" fontId="5" fillId="0" borderId="0" xfId="1" applyNumberFormat="1" applyFont="1"/>
    <xf numFmtId="0" fontId="8" fillId="0" borderId="0" xfId="0" applyFont="1"/>
    <xf numFmtId="188" fontId="4" fillId="0" borderId="0" xfId="2" applyNumberFormat="1" applyFont="1"/>
  </cellXfs>
  <cellStyles count="3">
    <cellStyle name="Comma" xfId="2" builtinId="3"/>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0DA9A-6824-E543-8778-9193BCAA910C}">
  <dimension ref="A1:B37"/>
  <sheetViews>
    <sheetView zoomScale="75" workbookViewId="0">
      <selection activeCell="A31" sqref="A31"/>
    </sheetView>
  </sheetViews>
  <sheetFormatPr baseColWidth="10" defaultRowHeight="16" x14ac:dyDescent="0.2"/>
  <cols>
    <col min="1" max="1" width="120.33203125" customWidth="1"/>
  </cols>
  <sheetData>
    <row r="1" spans="1:2" ht="22" x14ac:dyDescent="0.3">
      <c r="A1" s="39" t="s">
        <v>238</v>
      </c>
    </row>
    <row r="2" spans="1:2" x14ac:dyDescent="0.2">
      <c r="A2" t="s">
        <v>264</v>
      </c>
    </row>
    <row r="3" spans="1:2" x14ac:dyDescent="0.2">
      <c r="A3" t="s">
        <v>239</v>
      </c>
    </row>
    <row r="5" spans="1:2" x14ac:dyDescent="0.2">
      <c r="A5" s="1" t="s">
        <v>246</v>
      </c>
    </row>
    <row r="6" spans="1:2" x14ac:dyDescent="0.2">
      <c r="A6" t="s">
        <v>189</v>
      </c>
      <c r="B6" s="36">
        <f>WACC!B19</f>
        <v>0.11575431315108414</v>
      </c>
    </row>
    <row r="7" spans="1:2" x14ac:dyDescent="0.2">
      <c r="A7" t="s">
        <v>192</v>
      </c>
      <c r="B7" s="36">
        <f>WACC!B8</f>
        <v>0.12528999999999998</v>
      </c>
    </row>
    <row r="8" spans="1:2" x14ac:dyDescent="0.2">
      <c r="A8" t="s">
        <v>190</v>
      </c>
      <c r="B8" s="37">
        <f>WACC!B4</f>
        <v>5.3100000000000001E-2</v>
      </c>
    </row>
    <row r="9" spans="1:2" x14ac:dyDescent="0.2">
      <c r="A9" t="s">
        <v>191</v>
      </c>
      <c r="B9" s="38">
        <f>WACC!B7</f>
        <v>1.3</v>
      </c>
    </row>
    <row r="10" spans="1:2" x14ac:dyDescent="0.2">
      <c r="A10" t="s">
        <v>214</v>
      </c>
      <c r="B10" s="36">
        <f>DCF!B10</f>
        <v>2.5000000000000001E-2</v>
      </c>
    </row>
    <row r="11" spans="1:2" x14ac:dyDescent="0.2">
      <c r="A11" t="s">
        <v>145</v>
      </c>
      <c r="B11" s="28">
        <f>Forecast!C10</f>
        <v>0.22</v>
      </c>
    </row>
    <row r="12" spans="1:2" x14ac:dyDescent="0.2">
      <c r="A12" t="s">
        <v>247</v>
      </c>
      <c r="B12" s="28">
        <f>Forecast!C6</f>
        <v>0.21</v>
      </c>
    </row>
    <row r="13" spans="1:2" x14ac:dyDescent="0.2">
      <c r="A13" t="s">
        <v>248</v>
      </c>
      <c r="B13" s="28">
        <f>Forecast!L6</f>
        <v>0.05</v>
      </c>
    </row>
    <row r="14" spans="1:2" x14ac:dyDescent="0.2">
      <c r="A14" t="s">
        <v>254</v>
      </c>
      <c r="B14" s="28">
        <f>Forecast!C7</f>
        <v>0.13</v>
      </c>
    </row>
    <row r="15" spans="1:2" x14ac:dyDescent="0.2">
      <c r="A15" t="s">
        <v>255</v>
      </c>
      <c r="B15" s="28">
        <f>Forecast!L7</f>
        <v>0.05</v>
      </c>
    </row>
    <row r="16" spans="1:2" x14ac:dyDescent="0.2">
      <c r="A16" t="s">
        <v>249</v>
      </c>
      <c r="B16" s="28">
        <f>Forecast!C8</f>
        <v>0.6</v>
      </c>
    </row>
    <row r="17" spans="1:2" x14ac:dyDescent="0.2">
      <c r="A17" t="s">
        <v>250</v>
      </c>
      <c r="B17" s="28">
        <f>Forecast!L8</f>
        <v>0.05</v>
      </c>
    </row>
    <row r="18" spans="1:2" x14ac:dyDescent="0.2">
      <c r="A18" t="s">
        <v>251</v>
      </c>
      <c r="B18" s="36">
        <f>Forecast!C9</f>
        <v>0.04</v>
      </c>
    </row>
    <row r="19" spans="1:2" x14ac:dyDescent="0.2">
      <c r="A19" t="s">
        <v>252</v>
      </c>
      <c r="B19" s="36">
        <f>Forecast!L9</f>
        <v>0.15</v>
      </c>
    </row>
    <row r="20" spans="1:2" x14ac:dyDescent="0.2">
      <c r="A20" t="s">
        <v>253</v>
      </c>
      <c r="B20" s="29">
        <f>WACC!B14</f>
        <v>3.07</v>
      </c>
    </row>
    <row r="22" spans="1:2" x14ac:dyDescent="0.2">
      <c r="A22" s="1" t="s">
        <v>245</v>
      </c>
    </row>
    <row r="23" spans="1:2" x14ac:dyDescent="0.2">
      <c r="A23" t="s">
        <v>240</v>
      </c>
    </row>
    <row r="24" spans="1:2" x14ac:dyDescent="0.2">
      <c r="A24" t="s">
        <v>241</v>
      </c>
    </row>
    <row r="25" spans="1:2" x14ac:dyDescent="0.2">
      <c r="A25" t="s">
        <v>242</v>
      </c>
    </row>
    <row r="26" spans="1:2" x14ac:dyDescent="0.2">
      <c r="A26" t="s">
        <v>243</v>
      </c>
    </row>
    <row r="27" spans="1:2" x14ac:dyDescent="0.2">
      <c r="A27" t="s">
        <v>244</v>
      </c>
    </row>
    <row r="29" spans="1:2" x14ac:dyDescent="0.2">
      <c r="A29" s="1" t="s">
        <v>256</v>
      </c>
    </row>
    <row r="30" spans="1:2" ht="34" x14ac:dyDescent="0.2">
      <c r="A30" s="11" t="s">
        <v>257</v>
      </c>
    </row>
    <row r="31" spans="1:2" ht="34" x14ac:dyDescent="0.2">
      <c r="A31" s="9" t="s">
        <v>271</v>
      </c>
    </row>
    <row r="32" spans="1:2" ht="17" x14ac:dyDescent="0.2">
      <c r="A32" s="9" t="s">
        <v>263</v>
      </c>
    </row>
    <row r="33" spans="1:1" ht="17" x14ac:dyDescent="0.2">
      <c r="A33" s="9" t="s">
        <v>258</v>
      </c>
    </row>
    <row r="34" spans="1:1" ht="17" x14ac:dyDescent="0.2">
      <c r="A34" s="9" t="s">
        <v>259</v>
      </c>
    </row>
    <row r="35" spans="1:1" ht="17" x14ac:dyDescent="0.2">
      <c r="A35" s="9" t="s">
        <v>260</v>
      </c>
    </row>
    <row r="36" spans="1:1" ht="17" x14ac:dyDescent="0.2">
      <c r="A36" s="9" t="s">
        <v>261</v>
      </c>
    </row>
    <row r="37" spans="1:1" ht="17" x14ac:dyDescent="0.2">
      <c r="A37" s="9" t="s">
        <v>262</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8F1F0-12C5-C645-8B1F-AA4CB501DC82}">
  <dimension ref="A1:J93"/>
  <sheetViews>
    <sheetView tabSelected="1" zoomScaleNormal="100" workbookViewId="0">
      <selection activeCell="H63" sqref="H63"/>
    </sheetView>
  </sheetViews>
  <sheetFormatPr baseColWidth="10" defaultRowHeight="16" x14ac:dyDescent="0.2"/>
  <cols>
    <col min="1" max="1" width="29.83203125" bestFit="1" customWidth="1"/>
    <col min="8" max="8" width="91" customWidth="1"/>
    <col min="10" max="10" width="33.83203125" customWidth="1"/>
  </cols>
  <sheetData>
    <row r="1" spans="1:10" ht="17" x14ac:dyDescent="0.2">
      <c r="A1" s="9" t="s">
        <v>10</v>
      </c>
      <c r="B1" t="s">
        <v>0</v>
      </c>
      <c r="C1" t="s">
        <v>1</v>
      </c>
      <c r="D1" t="s">
        <v>2</v>
      </c>
      <c r="E1" t="s">
        <v>3</v>
      </c>
      <c r="F1" t="s">
        <v>9</v>
      </c>
      <c r="G1" t="s">
        <v>8</v>
      </c>
      <c r="H1" t="s">
        <v>11</v>
      </c>
      <c r="J1" t="s">
        <v>60</v>
      </c>
    </row>
    <row r="2" spans="1:10" ht="34" x14ac:dyDescent="0.2">
      <c r="A2" s="10" t="s">
        <v>4</v>
      </c>
      <c r="H2" s="9" t="s">
        <v>20</v>
      </c>
      <c r="J2" s="9" t="s">
        <v>110</v>
      </c>
    </row>
    <row r="3" spans="1:10" ht="34" x14ac:dyDescent="0.2">
      <c r="A3" s="9" t="s">
        <v>5</v>
      </c>
      <c r="B3" s="5">
        <v>1310</v>
      </c>
      <c r="C3" s="5">
        <v>1493</v>
      </c>
      <c r="D3" s="5">
        <v>1800</v>
      </c>
      <c r="E3" s="5">
        <v>854</v>
      </c>
      <c r="F3" s="5">
        <v>1041</v>
      </c>
      <c r="G3" s="2">
        <f>D3+F3-E3</f>
        <v>1987</v>
      </c>
      <c r="H3" s="9" t="s">
        <v>12</v>
      </c>
    </row>
    <row r="4" spans="1:10" ht="34" x14ac:dyDescent="0.2">
      <c r="A4" s="9" t="s">
        <v>6</v>
      </c>
      <c r="B4" s="5">
        <v>871</v>
      </c>
      <c r="C4" s="5">
        <v>1047</v>
      </c>
      <c r="D4" s="5">
        <v>1219</v>
      </c>
      <c r="E4" s="5">
        <v>577</v>
      </c>
      <c r="F4" s="5">
        <v>668</v>
      </c>
      <c r="G4" s="2">
        <f t="shared" ref="G4:G6" si="0">D4+F4-E4</f>
        <v>1310</v>
      </c>
      <c r="H4" s="9" t="s">
        <v>13</v>
      </c>
    </row>
    <row r="5" spans="1:10" ht="51" x14ac:dyDescent="0.2">
      <c r="A5" s="9" t="s">
        <v>50</v>
      </c>
      <c r="B5" s="5">
        <v>177</v>
      </c>
      <c r="C5" s="5">
        <v>253</v>
      </c>
      <c r="D5" s="5">
        <v>347</v>
      </c>
      <c r="E5" s="5">
        <v>159</v>
      </c>
      <c r="F5" s="5">
        <v>241</v>
      </c>
      <c r="G5" s="2">
        <f t="shared" si="0"/>
        <v>429</v>
      </c>
      <c r="H5" s="9" t="s">
        <v>14</v>
      </c>
    </row>
    <row r="6" spans="1:10" ht="34" x14ac:dyDescent="0.2">
      <c r="A6" s="9" t="s">
        <v>51</v>
      </c>
      <c r="B6" s="5">
        <v>1</v>
      </c>
      <c r="C6" s="5">
        <v>4</v>
      </c>
      <c r="D6" s="5">
        <v>4</v>
      </c>
      <c r="E6" s="5">
        <v>2</v>
      </c>
      <c r="F6" s="5">
        <v>2</v>
      </c>
      <c r="G6" s="2">
        <f t="shared" si="0"/>
        <v>4</v>
      </c>
      <c r="H6" s="9" t="s">
        <v>15</v>
      </c>
    </row>
    <row r="7" spans="1:10" ht="17" x14ac:dyDescent="0.2">
      <c r="A7" s="9" t="s">
        <v>52</v>
      </c>
      <c r="B7" s="2">
        <f>SUM(B3:B6)</f>
        <v>2359</v>
      </c>
      <c r="C7" s="2">
        <f t="shared" ref="C7:F7" si="1">SUM(C3:C6)</f>
        <v>2797</v>
      </c>
      <c r="D7" s="2">
        <f t="shared" si="1"/>
        <v>3370</v>
      </c>
      <c r="E7" s="2">
        <f t="shared" si="1"/>
        <v>1592</v>
      </c>
      <c r="F7" s="2">
        <f t="shared" si="1"/>
        <v>1952</v>
      </c>
      <c r="G7" s="2">
        <f>SUM(G3:G6)</f>
        <v>3730</v>
      </c>
      <c r="H7" s="9" t="s">
        <v>16</v>
      </c>
    </row>
    <row r="8" spans="1:10" ht="34" x14ac:dyDescent="0.2">
      <c r="A8" s="9" t="s">
        <v>7</v>
      </c>
      <c r="B8" s="5">
        <v>2359</v>
      </c>
      <c r="C8" s="5">
        <v>2797</v>
      </c>
      <c r="D8" s="5">
        <v>3370</v>
      </c>
      <c r="E8" s="5">
        <v>1592</v>
      </c>
      <c r="F8" s="5">
        <v>1953</v>
      </c>
      <c r="G8" s="2">
        <f>D8+F8-E8</f>
        <v>3731</v>
      </c>
      <c r="H8" s="9" t="s">
        <v>17</v>
      </c>
    </row>
    <row r="9" spans="1:10" ht="34" x14ac:dyDescent="0.2">
      <c r="A9" s="9" t="s">
        <v>53</v>
      </c>
      <c r="B9" s="2">
        <f>B7-B8</f>
        <v>0</v>
      </c>
      <c r="C9" s="2">
        <f t="shared" ref="C9:G9" si="2">C7-C8</f>
        <v>0</v>
      </c>
      <c r="D9" s="2">
        <f t="shared" si="2"/>
        <v>0</v>
      </c>
      <c r="E9" s="2">
        <f t="shared" si="2"/>
        <v>0</v>
      </c>
      <c r="F9" s="2">
        <f t="shared" si="2"/>
        <v>-1</v>
      </c>
      <c r="G9" s="2">
        <f t="shared" si="2"/>
        <v>-1</v>
      </c>
      <c r="H9" s="9" t="s">
        <v>18</v>
      </c>
    </row>
    <row r="10" spans="1:10" ht="17" x14ac:dyDescent="0.2">
      <c r="A10" s="9" t="s">
        <v>54</v>
      </c>
      <c r="B10" s="2"/>
      <c r="C10" s="3">
        <f>C7/B7-1</f>
        <v>0.1856718948707079</v>
      </c>
      <c r="D10" s="3">
        <f>D7/C7-1</f>
        <v>0.20486235252055773</v>
      </c>
      <c r="E10" s="3"/>
      <c r="F10" s="3">
        <f>F7/E7-1</f>
        <v>0.22613065326633164</v>
      </c>
      <c r="G10" s="2"/>
      <c r="H10" s="9" t="s">
        <v>19</v>
      </c>
    </row>
    <row r="11" spans="1:10" ht="17" x14ac:dyDescent="0.2">
      <c r="A11" s="9" t="s">
        <v>10</v>
      </c>
      <c r="B11" s="2"/>
      <c r="C11" s="2"/>
      <c r="D11" s="2"/>
      <c r="E11" s="2"/>
      <c r="F11" s="2"/>
      <c r="G11" s="2"/>
      <c r="H11" s="9"/>
    </row>
    <row r="12" spans="1:10" ht="17" x14ac:dyDescent="0.2">
      <c r="A12" s="10" t="s">
        <v>41</v>
      </c>
      <c r="B12" s="2"/>
      <c r="C12" s="2"/>
      <c r="D12" s="2"/>
      <c r="E12" s="2"/>
      <c r="F12" s="2"/>
      <c r="G12" s="2"/>
      <c r="H12" s="9"/>
    </row>
    <row r="13" spans="1:10" ht="51" x14ac:dyDescent="0.2">
      <c r="A13" s="9" t="s">
        <v>21</v>
      </c>
      <c r="B13" s="5">
        <v>-519</v>
      </c>
      <c r="C13" s="5">
        <v>-168</v>
      </c>
      <c r="D13" s="5">
        <v>65</v>
      </c>
      <c r="E13" s="5">
        <v>-14</v>
      </c>
      <c r="F13" s="5">
        <v>41</v>
      </c>
      <c r="G13" s="2">
        <f>D13+F13-E13</f>
        <v>120</v>
      </c>
      <c r="H13" s="9" t="s">
        <v>29</v>
      </c>
    </row>
    <row r="14" spans="1:10" ht="34" x14ac:dyDescent="0.2">
      <c r="A14" s="9" t="s">
        <v>26</v>
      </c>
      <c r="B14" s="5">
        <v>-17</v>
      </c>
      <c r="C14" s="5">
        <v>-13</v>
      </c>
      <c r="D14" s="5">
        <v>-12</v>
      </c>
      <c r="E14" s="5">
        <v>-10</v>
      </c>
      <c r="F14" s="5">
        <v>-1</v>
      </c>
      <c r="G14" s="2">
        <f t="shared" ref="G14:G20" si="3">D14+F14-E14</f>
        <v>-3</v>
      </c>
      <c r="H14" s="9" t="s">
        <v>30</v>
      </c>
    </row>
    <row r="15" spans="1:10" ht="17" x14ac:dyDescent="0.2">
      <c r="A15" s="9" t="s">
        <v>27</v>
      </c>
      <c r="B15" s="5">
        <v>145</v>
      </c>
      <c r="C15" s="5">
        <v>147</v>
      </c>
      <c r="D15" s="5">
        <v>177</v>
      </c>
      <c r="E15" s="5">
        <v>81</v>
      </c>
      <c r="F15" s="5">
        <v>109</v>
      </c>
      <c r="G15" s="2">
        <f t="shared" si="3"/>
        <v>205</v>
      </c>
      <c r="H15" s="9" t="s">
        <v>31</v>
      </c>
    </row>
    <row r="16" spans="1:10" ht="34" x14ac:dyDescent="0.2">
      <c r="A16" s="9" t="s">
        <v>22</v>
      </c>
      <c r="B16" s="5">
        <v>304</v>
      </c>
      <c r="C16" s="5">
        <v>279</v>
      </c>
      <c r="D16" s="5">
        <v>241</v>
      </c>
      <c r="E16" s="5">
        <v>141</v>
      </c>
      <c r="F16" s="5">
        <v>140</v>
      </c>
      <c r="G16" s="2">
        <f t="shared" si="3"/>
        <v>240</v>
      </c>
      <c r="H16" s="9" t="s">
        <v>32</v>
      </c>
    </row>
    <row r="17" spans="1:8" ht="68" x14ac:dyDescent="0.2">
      <c r="A17" s="9" t="s">
        <v>23</v>
      </c>
      <c r="B17" s="5">
        <v>0</v>
      </c>
      <c r="C17" s="5">
        <v>6</v>
      </c>
      <c r="D17" s="5">
        <v>20</v>
      </c>
      <c r="E17" s="5">
        <v>6</v>
      </c>
      <c r="F17" s="5">
        <v>7</v>
      </c>
      <c r="G17" s="2">
        <f t="shared" si="3"/>
        <v>21</v>
      </c>
      <c r="H17" s="9" t="s">
        <v>33</v>
      </c>
    </row>
    <row r="18" spans="1:8" ht="34" x14ac:dyDescent="0.2">
      <c r="A18" s="9" t="s">
        <v>28</v>
      </c>
      <c r="B18" s="5">
        <v>0</v>
      </c>
      <c r="C18" s="5">
        <v>0</v>
      </c>
      <c r="D18" s="5">
        <v>0</v>
      </c>
      <c r="E18" s="5">
        <v>0</v>
      </c>
      <c r="F18" s="5">
        <v>15</v>
      </c>
      <c r="G18" s="2">
        <f t="shared" si="3"/>
        <v>15</v>
      </c>
      <c r="H18" s="9" t="s">
        <v>34</v>
      </c>
    </row>
    <row r="19" spans="1:8" ht="17" x14ac:dyDescent="0.2">
      <c r="A19" s="9" t="s">
        <v>24</v>
      </c>
      <c r="B19" s="5">
        <v>56</v>
      </c>
      <c r="C19" s="5">
        <v>14</v>
      </c>
      <c r="D19" s="5">
        <v>12</v>
      </c>
      <c r="E19" s="5">
        <v>3</v>
      </c>
      <c r="F19" s="5">
        <v>6</v>
      </c>
      <c r="G19" s="2">
        <f t="shared" si="3"/>
        <v>15</v>
      </c>
      <c r="H19" s="9" t="s">
        <v>35</v>
      </c>
    </row>
    <row r="20" spans="1:8" ht="34" x14ac:dyDescent="0.2">
      <c r="A20" s="9" t="s">
        <v>25</v>
      </c>
      <c r="B20" s="5">
        <v>9</v>
      </c>
      <c r="C20" s="5">
        <v>48</v>
      </c>
      <c r="D20" s="5">
        <v>-3</v>
      </c>
      <c r="E20" s="5">
        <v>8</v>
      </c>
      <c r="F20" s="5">
        <v>6</v>
      </c>
      <c r="G20" s="2">
        <f t="shared" si="3"/>
        <v>-5</v>
      </c>
      <c r="H20" s="9" t="s">
        <v>36</v>
      </c>
    </row>
    <row r="21" spans="1:8" ht="17" x14ac:dyDescent="0.2">
      <c r="A21" s="9" t="s">
        <v>10</v>
      </c>
      <c r="B21" s="2"/>
      <c r="C21" s="2"/>
      <c r="D21" s="2"/>
      <c r="E21" s="2"/>
      <c r="F21" s="2"/>
      <c r="G21" s="2"/>
      <c r="H21" s="9"/>
    </row>
    <row r="22" spans="1:8" ht="51" x14ac:dyDescent="0.2">
      <c r="A22" s="10" t="s">
        <v>37</v>
      </c>
      <c r="B22" s="5">
        <v>-22</v>
      </c>
      <c r="C22" s="5">
        <v>313</v>
      </c>
      <c r="D22" s="5">
        <v>500</v>
      </c>
      <c r="E22" s="5">
        <v>215</v>
      </c>
      <c r="F22" s="5">
        <v>323</v>
      </c>
      <c r="G22" s="2">
        <f>D22+F22-E22</f>
        <v>608</v>
      </c>
      <c r="H22" s="9" t="s">
        <v>40</v>
      </c>
    </row>
    <row r="23" spans="1:8" ht="68" x14ac:dyDescent="0.2">
      <c r="A23" s="9" t="s">
        <v>55</v>
      </c>
      <c r="B23" s="5">
        <v>398</v>
      </c>
      <c r="C23" s="5">
        <v>350</v>
      </c>
      <c r="D23" s="5">
        <v>368</v>
      </c>
      <c r="E23" s="5">
        <v>178</v>
      </c>
      <c r="F23" s="5">
        <v>217</v>
      </c>
      <c r="G23" s="2">
        <f>D23+F23-E23</f>
        <v>407</v>
      </c>
      <c r="H23" s="9" t="s">
        <v>44</v>
      </c>
    </row>
    <row r="24" spans="1:8" ht="17" x14ac:dyDescent="0.2">
      <c r="A24" s="9" t="s">
        <v>10</v>
      </c>
      <c r="B24" s="2"/>
      <c r="C24" s="2"/>
      <c r="D24" s="2"/>
      <c r="E24" s="2"/>
      <c r="F24" s="2"/>
      <c r="G24" s="2"/>
      <c r="H24" s="9"/>
    </row>
    <row r="25" spans="1:8" ht="34" x14ac:dyDescent="0.2">
      <c r="A25" s="10" t="s">
        <v>38</v>
      </c>
      <c r="B25" s="5">
        <v>376</v>
      </c>
      <c r="C25" s="5">
        <v>663</v>
      </c>
      <c r="D25" s="5">
        <v>868</v>
      </c>
      <c r="E25" s="5">
        <v>393</v>
      </c>
      <c r="F25" s="5">
        <v>540</v>
      </c>
      <c r="G25" s="2">
        <f>D25+F25-E25</f>
        <v>1015</v>
      </c>
      <c r="H25" s="9" t="s">
        <v>45</v>
      </c>
    </row>
    <row r="26" spans="1:8" ht="34" x14ac:dyDescent="0.2">
      <c r="A26" s="11" t="s">
        <v>5</v>
      </c>
      <c r="B26" s="5">
        <v>81</v>
      </c>
      <c r="C26" s="5">
        <v>196</v>
      </c>
      <c r="D26" s="5">
        <v>287</v>
      </c>
      <c r="E26" s="5">
        <v>126</v>
      </c>
      <c r="F26" s="5">
        <v>184</v>
      </c>
      <c r="G26" s="2">
        <f t="shared" ref="G26:G29" si="4">D26+F26-E26</f>
        <v>345</v>
      </c>
      <c r="H26" s="9" t="s">
        <v>46</v>
      </c>
    </row>
    <row r="27" spans="1:8" ht="34" x14ac:dyDescent="0.2">
      <c r="A27" s="11" t="s">
        <v>6</v>
      </c>
      <c r="B27" s="5">
        <v>466</v>
      </c>
      <c r="C27" s="5">
        <v>569</v>
      </c>
      <c r="D27" s="5">
        <v>690</v>
      </c>
      <c r="E27" s="5">
        <v>323</v>
      </c>
      <c r="F27" s="5">
        <v>389</v>
      </c>
      <c r="G27" s="2">
        <f t="shared" si="4"/>
        <v>756</v>
      </c>
      <c r="H27" s="9" t="s">
        <v>47</v>
      </c>
    </row>
    <row r="28" spans="1:8" ht="34" x14ac:dyDescent="0.2">
      <c r="A28" s="11" t="s">
        <v>39</v>
      </c>
      <c r="B28" s="5">
        <v>-170</v>
      </c>
      <c r="C28" s="5">
        <v>-105</v>
      </c>
      <c r="D28" s="5">
        <v>-110</v>
      </c>
      <c r="E28" s="5">
        <v>-56</v>
      </c>
      <c r="F28" s="5">
        <v>-32</v>
      </c>
      <c r="G28" s="2">
        <f t="shared" si="4"/>
        <v>-86</v>
      </c>
      <c r="H28" s="9" t="s">
        <v>48</v>
      </c>
    </row>
    <row r="29" spans="1:8" ht="17" x14ac:dyDescent="0.2">
      <c r="A29" s="11" t="s">
        <v>51</v>
      </c>
      <c r="B29" s="5">
        <v>-1</v>
      </c>
      <c r="C29" s="5">
        <v>3</v>
      </c>
      <c r="D29" s="5">
        <v>1</v>
      </c>
      <c r="E29" s="5">
        <v>0</v>
      </c>
      <c r="F29" s="5">
        <v>-1</v>
      </c>
      <c r="G29" s="2">
        <f t="shared" si="4"/>
        <v>0</v>
      </c>
      <c r="H29" s="9" t="s">
        <v>49</v>
      </c>
    </row>
    <row r="30" spans="1:8" ht="34" x14ac:dyDescent="0.2">
      <c r="A30" s="11" t="s">
        <v>42</v>
      </c>
      <c r="B30" s="2">
        <f xml:space="preserve"> SUM(B13:B20)-B22</f>
        <v>0</v>
      </c>
      <c r="C30" s="2">
        <f t="shared" ref="C30:G30" si="5" xml:space="preserve"> SUM(C13:C20)-C22</f>
        <v>0</v>
      </c>
      <c r="D30" s="2">
        <f t="shared" si="5"/>
        <v>0</v>
      </c>
      <c r="E30" s="2">
        <f t="shared" si="5"/>
        <v>0</v>
      </c>
      <c r="F30" s="2">
        <f t="shared" si="5"/>
        <v>0</v>
      </c>
      <c r="G30" s="2">
        <f t="shared" si="5"/>
        <v>0</v>
      </c>
      <c r="H30" s="9" t="s">
        <v>57</v>
      </c>
    </row>
    <row r="31" spans="1:8" ht="17" x14ac:dyDescent="0.2">
      <c r="A31" s="11" t="s">
        <v>43</v>
      </c>
      <c r="B31" s="2">
        <f>SUM(B26:B29) - B25</f>
        <v>0</v>
      </c>
      <c r="C31" s="2">
        <f t="shared" ref="C31:G31" si="6">SUM(C26:C29) - C25</f>
        <v>0</v>
      </c>
      <c r="D31" s="2">
        <f t="shared" si="6"/>
        <v>0</v>
      </c>
      <c r="E31" s="2">
        <f t="shared" si="6"/>
        <v>0</v>
      </c>
      <c r="F31" s="2">
        <f t="shared" si="6"/>
        <v>0</v>
      </c>
      <c r="G31" s="2">
        <f t="shared" si="6"/>
        <v>0</v>
      </c>
      <c r="H31" s="9" t="s">
        <v>58</v>
      </c>
    </row>
    <row r="32" spans="1:8" ht="17" x14ac:dyDescent="0.2">
      <c r="A32" s="11" t="s">
        <v>56</v>
      </c>
      <c r="B32" s="2">
        <f>B25-B23-B22</f>
        <v>0</v>
      </c>
      <c r="C32" s="2">
        <f t="shared" ref="C32:G32" si="7">C25-C23-C22</f>
        <v>0</v>
      </c>
      <c r="D32" s="2">
        <f t="shared" si="7"/>
        <v>0</v>
      </c>
      <c r="E32" s="2">
        <f t="shared" si="7"/>
        <v>0</v>
      </c>
      <c r="F32" s="2">
        <f t="shared" si="7"/>
        <v>0</v>
      </c>
      <c r="G32" s="2">
        <f t="shared" si="7"/>
        <v>0</v>
      </c>
      <c r="H32" s="9" t="s">
        <v>59</v>
      </c>
    </row>
    <row r="33" spans="1:8" x14ac:dyDescent="0.2">
      <c r="A33" s="9"/>
      <c r="H33" s="9"/>
    </row>
    <row r="34" spans="1:8" x14ac:dyDescent="0.2">
      <c r="A34" s="9"/>
      <c r="H34" s="9"/>
    </row>
    <row r="35" spans="1:8" ht="17" x14ac:dyDescent="0.2">
      <c r="A35" s="11" t="s">
        <v>10</v>
      </c>
      <c r="B35" t="s">
        <v>61</v>
      </c>
      <c r="C35" t="s">
        <v>62</v>
      </c>
      <c r="D35" t="s">
        <v>63</v>
      </c>
      <c r="E35" t="s">
        <v>64</v>
      </c>
      <c r="H35" s="9" t="s">
        <v>11</v>
      </c>
    </row>
    <row r="36" spans="1:8" ht="68" x14ac:dyDescent="0.2">
      <c r="A36" s="10" t="s">
        <v>65</v>
      </c>
      <c r="H36" s="9" t="s">
        <v>66</v>
      </c>
    </row>
    <row r="37" spans="1:8" ht="68" x14ac:dyDescent="0.2">
      <c r="A37" s="11" t="s">
        <v>67</v>
      </c>
      <c r="B37" s="5">
        <v>3138</v>
      </c>
      <c r="C37" s="5">
        <v>2964</v>
      </c>
      <c r="D37" s="5">
        <v>3433</v>
      </c>
      <c r="E37" s="5">
        <v>2859</v>
      </c>
      <c r="H37" s="9" t="s">
        <v>68</v>
      </c>
    </row>
    <row r="38" spans="1:8" ht="68" x14ac:dyDescent="0.2">
      <c r="A38" s="11" t="s">
        <v>69</v>
      </c>
      <c r="B38" s="5">
        <v>1905</v>
      </c>
      <c r="C38" s="5">
        <v>2665</v>
      </c>
      <c r="D38" s="5">
        <v>3371</v>
      </c>
      <c r="E38" s="5">
        <v>3441</v>
      </c>
      <c r="H38" s="9" t="s">
        <v>70</v>
      </c>
    </row>
    <row r="39" spans="1:8" ht="68" x14ac:dyDescent="0.2">
      <c r="A39" s="11" t="s">
        <v>71</v>
      </c>
      <c r="B39" s="5">
        <v>1188</v>
      </c>
      <c r="C39" s="5">
        <v>765</v>
      </c>
      <c r="D39" s="5">
        <v>1023</v>
      </c>
      <c r="E39" s="5">
        <v>1476</v>
      </c>
      <c r="H39" s="9" t="s">
        <v>72</v>
      </c>
    </row>
    <row r="40" spans="1:8" ht="85" x14ac:dyDescent="0.2">
      <c r="A40" s="11" t="s">
        <v>73</v>
      </c>
      <c r="B40" s="5">
        <v>668</v>
      </c>
      <c r="C40" s="5">
        <v>241</v>
      </c>
      <c r="D40" s="5">
        <v>373</v>
      </c>
      <c r="E40" s="5">
        <v>409</v>
      </c>
      <c r="H40" s="9" t="s">
        <v>74</v>
      </c>
    </row>
    <row r="41" spans="1:8" ht="85" x14ac:dyDescent="0.2">
      <c r="A41" s="11" t="s">
        <v>75</v>
      </c>
      <c r="B41" s="5">
        <v>125</v>
      </c>
      <c r="C41" s="5">
        <v>123</v>
      </c>
      <c r="D41" s="5">
        <v>1680</v>
      </c>
      <c r="E41" s="5">
        <v>1624</v>
      </c>
      <c r="H41" s="9" t="s">
        <v>76</v>
      </c>
    </row>
    <row r="42" spans="1:8" ht="119" x14ac:dyDescent="0.2">
      <c r="A42" s="11" t="s">
        <v>77</v>
      </c>
      <c r="B42" s="5">
        <v>0</v>
      </c>
      <c r="C42" s="5">
        <v>0</v>
      </c>
      <c r="D42" s="5">
        <v>1502</v>
      </c>
      <c r="E42" s="5"/>
      <c r="H42" s="9" t="s">
        <v>267</v>
      </c>
    </row>
    <row r="43" spans="1:8" ht="68" x14ac:dyDescent="0.2">
      <c r="A43" s="11" t="s">
        <v>78</v>
      </c>
      <c r="B43" s="5">
        <v>374</v>
      </c>
      <c r="C43" s="5">
        <v>1225</v>
      </c>
      <c r="D43" s="5">
        <v>1629</v>
      </c>
      <c r="E43" s="5">
        <v>2513</v>
      </c>
      <c r="H43" s="9" t="s">
        <v>79</v>
      </c>
    </row>
    <row r="44" spans="1:8" ht="68" x14ac:dyDescent="0.2">
      <c r="A44" s="11" t="s">
        <v>80</v>
      </c>
      <c r="B44" s="5">
        <v>19</v>
      </c>
      <c r="C44" s="5">
        <v>-48</v>
      </c>
      <c r="D44" s="5">
        <v>29</v>
      </c>
      <c r="E44" s="5">
        <v>437</v>
      </c>
      <c r="H44" s="9" t="s">
        <v>81</v>
      </c>
    </row>
    <row r="45" spans="1:8" ht="68" x14ac:dyDescent="0.2">
      <c r="A45" s="11" t="s">
        <v>82</v>
      </c>
      <c r="B45" s="5">
        <v>6468</v>
      </c>
      <c r="C45" s="5">
        <v>6351</v>
      </c>
      <c r="D45" s="5">
        <v>6757</v>
      </c>
      <c r="E45" s="5">
        <v>7203</v>
      </c>
      <c r="H45" s="9" t="s">
        <v>83</v>
      </c>
    </row>
    <row r="46" spans="1:8" ht="17" x14ac:dyDescent="0.2">
      <c r="A46" s="11" t="s">
        <v>84</v>
      </c>
      <c r="B46" s="2">
        <f>B40+B41</f>
        <v>793</v>
      </c>
      <c r="C46" s="2">
        <f>C40+C41</f>
        <v>364</v>
      </c>
      <c r="D46" s="2">
        <f>D40+D41</f>
        <v>2053</v>
      </c>
      <c r="E46" s="2">
        <f>E40+E41</f>
        <v>2033</v>
      </c>
      <c r="H46" s="9" t="s">
        <v>85</v>
      </c>
    </row>
    <row r="47" spans="1:8" ht="68" x14ac:dyDescent="0.2">
      <c r="A47" s="11" t="s">
        <v>86</v>
      </c>
      <c r="B47" s="5">
        <v>793</v>
      </c>
      <c r="C47" s="5">
        <v>364</v>
      </c>
      <c r="D47" s="5">
        <v>2053</v>
      </c>
      <c r="E47" s="5"/>
      <c r="H47" s="9" t="s">
        <v>266</v>
      </c>
    </row>
    <row r="48" spans="1:8" ht="34" x14ac:dyDescent="0.2">
      <c r="A48" s="11" t="s">
        <v>53</v>
      </c>
      <c r="B48" s="2">
        <f>IF(ISNUMBER(B47),B46-B47,"n/a")</f>
        <v>0</v>
      </c>
      <c r="C48" s="2">
        <f>IF(ISNUMBER(C47),C46-C47,"n/a")</f>
        <v>0</v>
      </c>
      <c r="D48" s="2">
        <f>IF(ISNUMBER(D47),D46-D47,"n/a")</f>
        <v>0</v>
      </c>
      <c r="E48" s="2" t="str">
        <f>IF(ISNUMBER(E47),E46-E47,"n/a")</f>
        <v>n/a</v>
      </c>
      <c r="H48" s="9" t="s">
        <v>87</v>
      </c>
    </row>
    <row r="49" spans="1:8" x14ac:dyDescent="0.2">
      <c r="A49" s="11"/>
      <c r="B49" s="2"/>
      <c r="C49" s="2"/>
      <c r="D49" s="2"/>
      <c r="E49" s="2"/>
      <c r="H49" s="9"/>
    </row>
    <row r="50" spans="1:8" ht="17" x14ac:dyDescent="0.2">
      <c r="A50" s="10" t="s">
        <v>105</v>
      </c>
      <c r="B50" s="2"/>
      <c r="C50" s="2"/>
      <c r="D50" s="2"/>
      <c r="E50" s="2"/>
      <c r="H50" s="9"/>
    </row>
    <row r="51" spans="1:8" ht="51" x14ac:dyDescent="0.2">
      <c r="A51" s="11" t="s">
        <v>106</v>
      </c>
      <c r="B51" s="8"/>
      <c r="C51" s="5">
        <v>158</v>
      </c>
      <c r="D51" s="5">
        <v>234</v>
      </c>
      <c r="E51" s="7"/>
      <c r="F51" s="8"/>
      <c r="H51" s="9" t="s">
        <v>268</v>
      </c>
    </row>
    <row r="52" spans="1:8" ht="51" x14ac:dyDescent="0.2">
      <c r="A52" t="s">
        <v>107</v>
      </c>
      <c r="B52" s="8"/>
      <c r="C52" s="7">
        <v>6.1</v>
      </c>
      <c r="D52" s="7">
        <v>7.4</v>
      </c>
      <c r="E52" s="7">
        <v>7.4</v>
      </c>
      <c r="F52" s="8"/>
      <c r="H52" s="9" t="s">
        <v>109</v>
      </c>
    </row>
    <row r="53" spans="1:8" ht="51" x14ac:dyDescent="0.2">
      <c r="A53" s="11" t="s">
        <v>108</v>
      </c>
      <c r="B53" s="8"/>
      <c r="C53" s="7"/>
      <c r="D53" s="7">
        <v>5.4</v>
      </c>
      <c r="E53" s="7">
        <v>5.4</v>
      </c>
      <c r="F53" s="8"/>
      <c r="H53" s="9" t="s">
        <v>265</v>
      </c>
    </row>
    <row r="54" spans="1:8" x14ac:dyDescent="0.2">
      <c r="A54" s="9"/>
      <c r="H54" s="9"/>
    </row>
    <row r="55" spans="1:8" ht="17" x14ac:dyDescent="0.2">
      <c r="A55" s="11" t="s">
        <v>88</v>
      </c>
      <c r="B55" t="s">
        <v>61</v>
      </c>
      <c r="C55" t="s">
        <v>62</v>
      </c>
      <c r="D55" t="s">
        <v>63</v>
      </c>
      <c r="E55" t="s">
        <v>64</v>
      </c>
      <c r="H55" s="9" t="s">
        <v>11</v>
      </c>
    </row>
    <row r="56" spans="1:8" ht="34" x14ac:dyDescent="0.2">
      <c r="A56" s="10" t="s">
        <v>89</v>
      </c>
      <c r="H56" s="9" t="s">
        <v>90</v>
      </c>
    </row>
    <row r="57" spans="1:8" ht="68" x14ac:dyDescent="0.2">
      <c r="A57" s="11" t="s">
        <v>91</v>
      </c>
      <c r="B57" s="7">
        <v>3813.3409999999999</v>
      </c>
      <c r="C57" s="7">
        <v>3950.4989999999998</v>
      </c>
      <c r="D57" s="7">
        <v>3969.2910000000002</v>
      </c>
      <c r="E57" s="7">
        <v>3974</v>
      </c>
      <c r="H57" s="9" t="s">
        <v>92</v>
      </c>
    </row>
    <row r="58" spans="1:8" ht="119" x14ac:dyDescent="0.2">
      <c r="A58" s="11" t="s">
        <v>93</v>
      </c>
      <c r="B58" s="7">
        <v>110.066</v>
      </c>
      <c r="C58" s="7">
        <v>114.879</v>
      </c>
      <c r="D58" s="7">
        <v>120.194</v>
      </c>
      <c r="E58" s="7">
        <v>105</v>
      </c>
      <c r="H58" s="9" t="s">
        <v>94</v>
      </c>
    </row>
    <row r="59" spans="1:8" ht="17" x14ac:dyDescent="0.2">
      <c r="A59" s="11" t="s">
        <v>95</v>
      </c>
      <c r="B59" s="8">
        <f>B57+B58</f>
        <v>3923.4069999999997</v>
      </c>
      <c r="C59" s="8">
        <f>C57+C58</f>
        <v>4065.3779999999997</v>
      </c>
      <c r="D59" s="8">
        <f>D57+D58</f>
        <v>4089.4850000000001</v>
      </c>
      <c r="E59" s="8">
        <f>E57+E58</f>
        <v>4079</v>
      </c>
      <c r="H59" s="9" t="s">
        <v>96</v>
      </c>
    </row>
    <row r="60" spans="1:8" ht="153" x14ac:dyDescent="0.2">
      <c r="A60" s="11" t="s">
        <v>104</v>
      </c>
      <c r="B60" s="7">
        <v>343.03500000000003</v>
      </c>
      <c r="C60" s="7">
        <v>222.49100000000001</v>
      </c>
      <c r="D60" s="7">
        <v>269.02600000000001</v>
      </c>
      <c r="E60" s="7">
        <v>518</v>
      </c>
      <c r="H60" s="9" t="s">
        <v>97</v>
      </c>
    </row>
    <row r="61" spans="1:8" x14ac:dyDescent="0.2">
      <c r="A61" s="9"/>
      <c r="H61" s="9"/>
    </row>
    <row r="62" spans="1:8" ht="17" x14ac:dyDescent="0.2">
      <c r="A62" s="11" t="s">
        <v>88</v>
      </c>
      <c r="B62" t="s">
        <v>0</v>
      </c>
      <c r="C62" t="s">
        <v>1</v>
      </c>
      <c r="D62" t="s">
        <v>2</v>
      </c>
      <c r="E62" t="s">
        <v>3</v>
      </c>
      <c r="F62" t="s">
        <v>9</v>
      </c>
      <c r="H62" s="9" t="s">
        <v>11</v>
      </c>
    </row>
    <row r="63" spans="1:8" ht="34" x14ac:dyDescent="0.2">
      <c r="A63" s="10" t="s">
        <v>98</v>
      </c>
      <c r="H63" s="9" t="s">
        <v>99</v>
      </c>
    </row>
    <row r="64" spans="1:8" ht="68" x14ac:dyDescent="0.2">
      <c r="A64" s="11" t="s">
        <v>100</v>
      </c>
      <c r="B64" s="7">
        <v>3894.7240000000002</v>
      </c>
      <c r="C64" s="7">
        <v>3995.2370000000001</v>
      </c>
      <c r="D64" s="7">
        <v>4092.1509999999998</v>
      </c>
      <c r="E64" s="7">
        <v>4099.96</v>
      </c>
      <c r="F64" s="7">
        <v>4088.7469999999998</v>
      </c>
      <c r="H64" s="9" t="s">
        <v>101</v>
      </c>
    </row>
    <row r="65" spans="1:8" ht="102" x14ac:dyDescent="0.2">
      <c r="A65" s="11" t="s">
        <v>102</v>
      </c>
      <c r="B65" s="7">
        <v>3894.7240000000002</v>
      </c>
      <c r="C65" s="7">
        <v>3995.2370000000001</v>
      </c>
      <c r="D65" s="7">
        <v>4206.085</v>
      </c>
      <c r="E65" s="7">
        <v>4201.4690000000001</v>
      </c>
      <c r="F65" s="7">
        <v>4398.1850000000004</v>
      </c>
      <c r="H65" s="9" t="s">
        <v>103</v>
      </c>
    </row>
    <row r="67" spans="1:8" ht="17" x14ac:dyDescent="0.2">
      <c r="A67" s="11" t="s">
        <v>111</v>
      </c>
      <c r="B67" t="s">
        <v>0</v>
      </c>
      <c r="C67" t="s">
        <v>1</v>
      </c>
      <c r="D67" t="s">
        <v>2</v>
      </c>
      <c r="E67" t="s">
        <v>3</v>
      </c>
      <c r="F67" t="s">
        <v>9</v>
      </c>
      <c r="G67" t="s">
        <v>8</v>
      </c>
    </row>
    <row r="68" spans="1:8" x14ac:dyDescent="0.2">
      <c r="A68" s="1" t="s">
        <v>112</v>
      </c>
    </row>
    <row r="69" spans="1:8" ht="51" x14ac:dyDescent="0.2">
      <c r="A69" s="11" t="s">
        <v>113</v>
      </c>
      <c r="B69" s="6">
        <v>86</v>
      </c>
      <c r="C69" s="6">
        <v>852</v>
      </c>
      <c r="D69" s="6">
        <v>79</v>
      </c>
      <c r="E69" s="6">
        <v>136</v>
      </c>
      <c r="F69" s="6">
        <v>-3</v>
      </c>
      <c r="G69">
        <f>D69+F69-E69</f>
        <v>-60</v>
      </c>
      <c r="H69" s="9" t="s">
        <v>119</v>
      </c>
    </row>
    <row r="70" spans="1:8" ht="17" x14ac:dyDescent="0.2">
      <c r="A70" s="11" t="s">
        <v>114</v>
      </c>
      <c r="B70" s="6">
        <v>-71</v>
      </c>
      <c r="C70" s="6">
        <v>-77</v>
      </c>
      <c r="D70" s="6">
        <v>-97</v>
      </c>
      <c r="E70" s="6">
        <v>-24</v>
      </c>
      <c r="F70" s="6">
        <v>-27</v>
      </c>
      <c r="G70">
        <f t="shared" ref="G70:G78" si="8">D70+F70-E70</f>
        <v>-100</v>
      </c>
      <c r="H70" s="9" t="s">
        <v>120</v>
      </c>
    </row>
    <row r="71" spans="1:8" ht="17" x14ac:dyDescent="0.2">
      <c r="A71" s="11" t="s">
        <v>126</v>
      </c>
      <c r="B71" s="6">
        <v>-21</v>
      </c>
      <c r="C71" s="6">
        <v>-36</v>
      </c>
      <c r="D71" s="6">
        <v>-26</v>
      </c>
      <c r="E71" s="6">
        <v>-14</v>
      </c>
      <c r="F71" s="6">
        <v>-14</v>
      </c>
      <c r="G71">
        <f t="shared" si="8"/>
        <v>-26</v>
      </c>
      <c r="H71" s="9" t="s">
        <v>120</v>
      </c>
    </row>
    <row r="72" spans="1:8" ht="17" x14ac:dyDescent="0.2">
      <c r="A72" s="11" t="s">
        <v>115</v>
      </c>
      <c r="B72">
        <f>B70+B71</f>
        <v>-92</v>
      </c>
      <c r="C72">
        <f t="shared" ref="C72:F72" si="9">C70+C71</f>
        <v>-113</v>
      </c>
      <c r="D72">
        <f t="shared" si="9"/>
        <v>-123</v>
      </c>
      <c r="E72">
        <f t="shared" si="9"/>
        <v>-38</v>
      </c>
      <c r="F72">
        <f t="shared" si="9"/>
        <v>-41</v>
      </c>
      <c r="G72">
        <f t="shared" si="8"/>
        <v>-126</v>
      </c>
      <c r="H72" s="9" t="s">
        <v>121</v>
      </c>
    </row>
    <row r="73" spans="1:8" ht="34" x14ac:dyDescent="0.2">
      <c r="A73" s="11" t="s">
        <v>127</v>
      </c>
      <c r="B73" s="6">
        <v>28</v>
      </c>
      <c r="C73" s="6">
        <v>26</v>
      </c>
      <c r="D73" s="6">
        <v>16</v>
      </c>
      <c r="E73" s="6">
        <v>5</v>
      </c>
      <c r="F73" s="6">
        <v>6</v>
      </c>
      <c r="G73">
        <f t="shared" si="8"/>
        <v>17</v>
      </c>
      <c r="H73" s="9" t="s">
        <v>269</v>
      </c>
    </row>
    <row r="74" spans="1:8" ht="51" x14ac:dyDescent="0.2">
      <c r="A74" s="11" t="s">
        <v>116</v>
      </c>
      <c r="B74" s="6">
        <v>-140</v>
      </c>
      <c r="C74" s="6">
        <v>-149</v>
      </c>
      <c r="D74" s="6">
        <v>-188</v>
      </c>
      <c r="E74" s="6">
        <v>-60</v>
      </c>
      <c r="F74" s="6">
        <v>-82</v>
      </c>
      <c r="G74">
        <f t="shared" si="8"/>
        <v>-210</v>
      </c>
      <c r="H74" s="9" t="s">
        <v>122</v>
      </c>
    </row>
    <row r="75" spans="1:8" ht="17" x14ac:dyDescent="0.2">
      <c r="A75" s="11" t="s">
        <v>117</v>
      </c>
      <c r="B75" s="6">
        <v>-39</v>
      </c>
      <c r="C75" s="6">
        <v>-46</v>
      </c>
      <c r="D75" s="6">
        <v>-52</v>
      </c>
      <c r="E75" s="6">
        <v>-22</v>
      </c>
      <c r="F75" s="6">
        <v>-32</v>
      </c>
      <c r="G75">
        <f t="shared" si="8"/>
        <v>-62</v>
      </c>
      <c r="H75" s="9" t="s">
        <v>120</v>
      </c>
    </row>
    <row r="76" spans="1:8" ht="51" x14ac:dyDescent="0.2">
      <c r="A76" s="11" t="s">
        <v>128</v>
      </c>
      <c r="B76" s="6">
        <v>-184</v>
      </c>
      <c r="C76" s="6">
        <v>-276</v>
      </c>
      <c r="D76" s="6">
        <v>-691</v>
      </c>
      <c r="E76" s="6">
        <v>-158</v>
      </c>
      <c r="F76" s="6">
        <v>-370</v>
      </c>
      <c r="G76">
        <f t="shared" si="8"/>
        <v>-903</v>
      </c>
      <c r="H76" s="9" t="s">
        <v>123</v>
      </c>
    </row>
    <row r="77" spans="1:8" ht="51" x14ac:dyDescent="0.2">
      <c r="A77" s="11" t="s">
        <v>129</v>
      </c>
      <c r="B77" s="6">
        <v>364</v>
      </c>
      <c r="C77" s="6">
        <v>843</v>
      </c>
      <c r="D77" s="6">
        <v>308</v>
      </c>
      <c r="E77" s="6">
        <v>229</v>
      </c>
      <c r="F77" s="6">
        <v>25</v>
      </c>
      <c r="G77">
        <f t="shared" si="8"/>
        <v>104</v>
      </c>
      <c r="H77" s="9" t="s">
        <v>123</v>
      </c>
    </row>
    <row r="78" spans="1:8" ht="17" x14ac:dyDescent="0.2">
      <c r="A78" s="11" t="s">
        <v>130</v>
      </c>
      <c r="B78" s="6">
        <v>0</v>
      </c>
      <c r="C78" s="6">
        <v>-226</v>
      </c>
      <c r="D78" s="6">
        <v>-274</v>
      </c>
      <c r="E78" s="6">
        <v>-274</v>
      </c>
      <c r="F78" s="6">
        <v>-400</v>
      </c>
      <c r="G78">
        <f t="shared" si="8"/>
        <v>-400</v>
      </c>
      <c r="H78" s="9" t="s">
        <v>120</v>
      </c>
    </row>
    <row r="79" spans="1:8" ht="51" x14ac:dyDescent="0.2">
      <c r="A79" s="11" t="s">
        <v>118</v>
      </c>
      <c r="C79" s="6">
        <v>162</v>
      </c>
      <c r="D79" s="6">
        <v>290</v>
      </c>
      <c r="E79" s="6">
        <v>10</v>
      </c>
      <c r="F79" s="6">
        <v>171</v>
      </c>
      <c r="H79" s="9" t="s">
        <v>124</v>
      </c>
    </row>
    <row r="80" spans="1:8" ht="51" x14ac:dyDescent="0.2">
      <c r="A80" s="11" t="s">
        <v>131</v>
      </c>
      <c r="C80">
        <f>C69+C74+C73-C76-C77-C79</f>
        <v>0</v>
      </c>
      <c r="D80">
        <f t="shared" ref="D80:E80" si="10">D69+D74+D73-D76-D77-D79</f>
        <v>0</v>
      </c>
      <c r="E80">
        <f t="shared" si="10"/>
        <v>0</v>
      </c>
      <c r="H80" s="9" t="s">
        <v>125</v>
      </c>
    </row>
    <row r="82" spans="1:7" x14ac:dyDescent="0.2">
      <c r="A82" s="1" t="s">
        <v>132</v>
      </c>
    </row>
    <row r="83" spans="1:7" ht="17" x14ac:dyDescent="0.2">
      <c r="A83" s="11" t="s">
        <v>133</v>
      </c>
      <c r="B83" s="12">
        <f>B13/B8</f>
        <v>-0.22000847816871555</v>
      </c>
      <c r="C83" s="12">
        <f t="shared" ref="C83:G83" si="11">C13/C8</f>
        <v>-6.0064354665713263E-2</v>
      </c>
      <c r="D83" s="12">
        <f t="shared" si="11"/>
        <v>1.9287833827893175E-2</v>
      </c>
      <c r="E83" s="12">
        <f t="shared" si="11"/>
        <v>-8.7939698492462311E-3</v>
      </c>
      <c r="F83" s="12">
        <f t="shared" si="11"/>
        <v>2.0993343573988736E-2</v>
      </c>
      <c r="G83" s="12">
        <f t="shared" si="11"/>
        <v>3.2162958992227285E-2</v>
      </c>
    </row>
    <row r="84" spans="1:7" ht="17" x14ac:dyDescent="0.2">
      <c r="A84" s="11" t="s">
        <v>134</v>
      </c>
      <c r="B84" s="12">
        <f>B22/B8</f>
        <v>-9.3259855871131829E-3</v>
      </c>
      <c r="C84" s="12">
        <f t="shared" ref="C84:G84" si="12">C22/C8</f>
        <v>0.11190561315695388</v>
      </c>
      <c r="D84" s="12">
        <f t="shared" si="12"/>
        <v>0.14836795252225518</v>
      </c>
      <c r="E84" s="12">
        <f t="shared" si="12"/>
        <v>0.1350502512562814</v>
      </c>
      <c r="F84" s="12">
        <f t="shared" si="12"/>
        <v>0.16538658474142345</v>
      </c>
      <c r="G84" s="12">
        <f t="shared" si="12"/>
        <v>0.16295899222728491</v>
      </c>
    </row>
    <row r="85" spans="1:7" ht="34" x14ac:dyDescent="0.2">
      <c r="A85" s="11" t="s">
        <v>135</v>
      </c>
      <c r="B85" s="12">
        <f>B16/B8</f>
        <v>0.12886816447647309</v>
      </c>
      <c r="C85" s="12">
        <f t="shared" ref="C85:G85" si="13">C16/C8</f>
        <v>9.9749731855559534E-2</v>
      </c>
      <c r="D85" s="12">
        <f t="shared" si="13"/>
        <v>7.1513353115726999E-2</v>
      </c>
      <c r="E85" s="12">
        <f t="shared" si="13"/>
        <v>8.8567839195979894E-2</v>
      </c>
      <c r="F85" s="12">
        <f t="shared" si="13"/>
        <v>7.1684587813620068E-2</v>
      </c>
      <c r="G85" s="12">
        <f t="shared" si="13"/>
        <v>6.432591798445457E-2</v>
      </c>
    </row>
    <row r="86" spans="1:7" ht="17" x14ac:dyDescent="0.2">
      <c r="A86" s="11" t="s">
        <v>136</v>
      </c>
      <c r="B86" s="12">
        <f>B15/B8</f>
        <v>6.1466723187791436E-2</v>
      </c>
      <c r="C86" s="12">
        <f t="shared" ref="C86:G86" si="14">C15/C8</f>
        <v>5.2556310332499107E-2</v>
      </c>
      <c r="D86" s="12">
        <f t="shared" si="14"/>
        <v>5.2522255192878335E-2</v>
      </c>
      <c r="E86" s="12">
        <f t="shared" si="14"/>
        <v>5.0879396984924621E-2</v>
      </c>
      <c r="F86" s="12">
        <f t="shared" si="14"/>
        <v>5.5811571940604196E-2</v>
      </c>
      <c r="G86" s="12">
        <f t="shared" si="14"/>
        <v>5.4945054945054944E-2</v>
      </c>
    </row>
    <row r="87" spans="1:7" ht="34" x14ac:dyDescent="0.2">
      <c r="A87" s="11" t="s">
        <v>137</v>
      </c>
      <c r="B87" s="12">
        <f>-B74/B8</f>
        <v>5.9347181008902079E-2</v>
      </c>
      <c r="C87" s="12">
        <f t="shared" ref="C87:G87" si="15">-C74/C8</f>
        <v>5.3271362173757594E-2</v>
      </c>
      <c r="D87" s="12">
        <f t="shared" si="15"/>
        <v>5.5786350148367955E-2</v>
      </c>
      <c r="E87" s="12">
        <f t="shared" si="15"/>
        <v>3.7688442211055273E-2</v>
      </c>
      <c r="F87" s="12">
        <f t="shared" si="15"/>
        <v>4.1986687147977472E-2</v>
      </c>
      <c r="G87" s="12">
        <f t="shared" si="15"/>
        <v>5.6285178236397747E-2</v>
      </c>
    </row>
    <row r="89" spans="1:7" x14ac:dyDescent="0.2">
      <c r="A89" s="1" t="s">
        <v>138</v>
      </c>
      <c r="B89" s="12"/>
      <c r="C89" s="12"/>
      <c r="D89" s="12"/>
      <c r="E89" s="12"/>
      <c r="F89" s="12"/>
    </row>
    <row r="90" spans="1:7" ht="17" x14ac:dyDescent="0.2">
      <c r="A90" s="11" t="s">
        <v>5</v>
      </c>
      <c r="B90" s="12"/>
      <c r="C90" s="12">
        <f>C3/B3-1</f>
        <v>0.13969465648854973</v>
      </c>
      <c r="D90" s="12">
        <f>D3/C3-1</f>
        <v>0.20562625586068317</v>
      </c>
      <c r="E90" s="12"/>
      <c r="F90" s="12">
        <f>F3/E3-1</f>
        <v>0.21896955503512872</v>
      </c>
    </row>
    <row r="91" spans="1:7" ht="17" x14ac:dyDescent="0.2">
      <c r="A91" s="11" t="s">
        <v>6</v>
      </c>
      <c r="B91" s="12"/>
      <c r="C91" s="12">
        <f>C4/B4-1</f>
        <v>0.20206659012629169</v>
      </c>
      <c r="D91" s="12">
        <f>D4/C4-1</f>
        <v>0.16427889207258839</v>
      </c>
      <c r="E91" s="12"/>
      <c r="F91" s="12">
        <f>F4/E4-1</f>
        <v>0.15771230502599654</v>
      </c>
    </row>
    <row r="92" spans="1:7" ht="17" x14ac:dyDescent="0.2">
      <c r="A92" s="11" t="s">
        <v>50</v>
      </c>
      <c r="B92" s="12"/>
      <c r="C92" s="12">
        <f>C5/B5-1</f>
        <v>0.42937853107344637</v>
      </c>
      <c r="D92" s="12">
        <f>D5/C5-1</f>
        <v>0.37154150197628466</v>
      </c>
      <c r="E92" s="12"/>
      <c r="F92" s="12">
        <f>F5/E5-1</f>
        <v>0.51572327044025168</v>
      </c>
    </row>
    <row r="93" spans="1:7" x14ac:dyDescent="0.2">
      <c r="B93" s="12"/>
      <c r="C93" s="12"/>
      <c r="D93" s="12"/>
      <c r="E93" s="12"/>
      <c r="F93" s="12"/>
    </row>
  </sheetData>
  <pageMargins left="0.7" right="0.7" top="0.75" bottom="0.75" header="0.3" footer="0.3"/>
  <ignoredErrors>
    <ignoredError sqref="G7"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9C2B6-7284-724B-9674-DE974B21759A}">
  <dimension ref="A1:M38"/>
  <sheetViews>
    <sheetView zoomScale="50" zoomScaleNormal="80" workbookViewId="0">
      <selection activeCell="B2" sqref="B2:L2"/>
    </sheetView>
  </sheetViews>
  <sheetFormatPr baseColWidth="10" defaultRowHeight="16" x14ac:dyDescent="0.2"/>
  <cols>
    <col min="1" max="1" width="37" customWidth="1"/>
    <col min="3" max="3" width="20.1640625" bestFit="1" customWidth="1"/>
    <col min="4" max="9" width="24.6640625" bestFit="1" customWidth="1"/>
    <col min="10" max="11" width="23.5" bestFit="1" customWidth="1"/>
    <col min="12" max="12" width="11" bestFit="1" customWidth="1"/>
    <col min="13" max="13" width="110.33203125" customWidth="1"/>
  </cols>
  <sheetData>
    <row r="1" spans="1:13" x14ac:dyDescent="0.2">
      <c r="A1" s="1" t="s">
        <v>139</v>
      </c>
      <c r="M1" t="s">
        <v>177</v>
      </c>
    </row>
    <row r="2" spans="1:13" x14ac:dyDescent="0.2">
      <c r="A2" t="s">
        <v>10</v>
      </c>
      <c r="B2" t="s">
        <v>158</v>
      </c>
      <c r="C2" t="s">
        <v>159</v>
      </c>
      <c r="D2" t="s">
        <v>160</v>
      </c>
      <c r="E2" t="s">
        <v>161</v>
      </c>
      <c r="F2" t="s">
        <v>162</v>
      </c>
      <c r="G2" t="s">
        <v>163</v>
      </c>
      <c r="H2" t="s">
        <v>164</v>
      </c>
      <c r="I2" t="s">
        <v>165</v>
      </c>
      <c r="J2" t="s">
        <v>166</v>
      </c>
      <c r="K2" t="s">
        <v>167</v>
      </c>
      <c r="L2" t="s">
        <v>168</v>
      </c>
    </row>
    <row r="3" spans="1:13" x14ac:dyDescent="0.2">
      <c r="A3" t="s">
        <v>140</v>
      </c>
      <c r="C3" s="6">
        <v>1</v>
      </c>
      <c r="D3">
        <f>C3+1</f>
        <v>2</v>
      </c>
      <c r="E3">
        <f t="shared" ref="E3:L3" si="0">D3+1</f>
        <v>3</v>
      </c>
      <c r="F3">
        <f t="shared" si="0"/>
        <v>4</v>
      </c>
      <c r="G3">
        <f t="shared" si="0"/>
        <v>5</v>
      </c>
      <c r="H3">
        <f t="shared" si="0"/>
        <v>6</v>
      </c>
      <c r="I3">
        <f t="shared" si="0"/>
        <v>7</v>
      </c>
      <c r="J3">
        <f t="shared" si="0"/>
        <v>8</v>
      </c>
      <c r="K3">
        <f t="shared" si="0"/>
        <v>9</v>
      </c>
      <c r="L3">
        <f t="shared" si="0"/>
        <v>10</v>
      </c>
    </row>
    <row r="5" spans="1:13" x14ac:dyDescent="0.2">
      <c r="A5" s="1" t="s">
        <v>141</v>
      </c>
    </row>
    <row r="6" spans="1:13" x14ac:dyDescent="0.2">
      <c r="A6" t="s">
        <v>142</v>
      </c>
      <c r="C6" s="16">
        <v>0.21</v>
      </c>
      <c r="D6" s="17">
        <f>C6+($L6-$C6)/9</f>
        <v>0.19222222222222221</v>
      </c>
      <c r="E6" s="17">
        <f t="shared" ref="E6:K6" si="1">D6+($L6-$C6)/9</f>
        <v>0.17444444444444443</v>
      </c>
      <c r="F6" s="17">
        <f t="shared" si="1"/>
        <v>0.15666666666666665</v>
      </c>
      <c r="G6" s="17">
        <f t="shared" si="1"/>
        <v>0.13888888888888887</v>
      </c>
      <c r="H6" s="17">
        <f t="shared" si="1"/>
        <v>0.12111111111111109</v>
      </c>
      <c r="I6" s="17">
        <f t="shared" si="1"/>
        <v>0.1033333333333333</v>
      </c>
      <c r="J6" s="17">
        <f t="shared" si="1"/>
        <v>8.5555555555555524E-2</v>
      </c>
      <c r="K6" s="17">
        <f t="shared" si="1"/>
        <v>6.7777777777777742E-2</v>
      </c>
      <c r="L6" s="16">
        <v>0.05</v>
      </c>
      <c r="M6" t="s">
        <v>183</v>
      </c>
    </row>
    <row r="7" spans="1:13" x14ac:dyDescent="0.2">
      <c r="A7" t="s">
        <v>143</v>
      </c>
      <c r="C7" s="16">
        <v>0.13</v>
      </c>
      <c r="D7" s="17">
        <f>C7+($L7-$C7)/9</f>
        <v>0.12111111111111111</v>
      </c>
      <c r="E7" s="17">
        <f t="shared" ref="E7:K7" si="2">D7+($L7-$C7)/9</f>
        <v>0.11222222222222222</v>
      </c>
      <c r="F7" s="17">
        <f t="shared" si="2"/>
        <v>0.10333333333333333</v>
      </c>
      <c r="G7" s="17">
        <f t="shared" si="2"/>
        <v>9.4444444444444442E-2</v>
      </c>
      <c r="H7" s="17">
        <f t="shared" si="2"/>
        <v>8.5555555555555551E-2</v>
      </c>
      <c r="I7" s="17">
        <f t="shared" si="2"/>
        <v>7.6666666666666661E-2</v>
      </c>
      <c r="J7" s="17">
        <f t="shared" si="2"/>
        <v>6.777777777777777E-2</v>
      </c>
      <c r="K7" s="17">
        <f t="shared" si="2"/>
        <v>5.888888888888888E-2</v>
      </c>
      <c r="L7" s="16">
        <v>0.05</v>
      </c>
      <c r="M7" t="s">
        <v>184</v>
      </c>
    </row>
    <row r="8" spans="1:13" x14ac:dyDescent="0.2">
      <c r="A8" t="s">
        <v>144</v>
      </c>
      <c r="C8" s="16">
        <v>0.6</v>
      </c>
      <c r="D8" s="16">
        <v>0.3</v>
      </c>
      <c r="E8" s="17">
        <f>D8+($L8-$D8)/8</f>
        <v>0.26874999999999999</v>
      </c>
      <c r="F8" s="17">
        <f t="shared" ref="F8:K8" si="3">E8+($L8-$D8)/8</f>
        <v>0.23749999999999999</v>
      </c>
      <c r="G8" s="17">
        <f t="shared" si="3"/>
        <v>0.20624999999999999</v>
      </c>
      <c r="H8" s="17">
        <f t="shared" si="3"/>
        <v>0.17499999999999999</v>
      </c>
      <c r="I8" s="17">
        <f t="shared" si="3"/>
        <v>0.14374999999999999</v>
      </c>
      <c r="J8" s="17">
        <f t="shared" si="3"/>
        <v>0.11249999999999999</v>
      </c>
      <c r="K8" s="17">
        <f t="shared" si="3"/>
        <v>8.1249999999999989E-2</v>
      </c>
      <c r="L8" s="16">
        <v>0.05</v>
      </c>
      <c r="M8" t="s">
        <v>185</v>
      </c>
    </row>
    <row r="9" spans="1:13" x14ac:dyDescent="0.2">
      <c r="A9" t="s">
        <v>171</v>
      </c>
      <c r="C9" s="16">
        <v>0.04</v>
      </c>
      <c r="D9" s="17">
        <f>C9+($L9-$C9)/9</f>
        <v>5.2222222222222225E-2</v>
      </c>
      <c r="E9" s="17">
        <f t="shared" ref="E9:K9" si="4">D9+($L9-$C9)/9</f>
        <v>6.4444444444444443E-2</v>
      </c>
      <c r="F9" s="17">
        <f t="shared" si="4"/>
        <v>7.6666666666666661E-2</v>
      </c>
      <c r="G9" s="17">
        <f t="shared" si="4"/>
        <v>8.8888888888888878E-2</v>
      </c>
      <c r="H9" s="17">
        <f t="shared" si="4"/>
        <v>0.1011111111111111</v>
      </c>
      <c r="I9" s="17">
        <f t="shared" si="4"/>
        <v>0.11333333333333331</v>
      </c>
      <c r="J9" s="17">
        <f t="shared" si="4"/>
        <v>0.12555555555555553</v>
      </c>
      <c r="K9" s="17">
        <f t="shared" si="4"/>
        <v>0.13777777777777775</v>
      </c>
      <c r="L9" s="16">
        <v>0.15</v>
      </c>
      <c r="M9" t="s">
        <v>186</v>
      </c>
    </row>
    <row r="10" spans="1:13" x14ac:dyDescent="0.2">
      <c r="A10" t="s">
        <v>145</v>
      </c>
      <c r="C10" s="16">
        <v>0.22</v>
      </c>
      <c r="M10" t="s">
        <v>172</v>
      </c>
    </row>
    <row r="11" spans="1:13" x14ac:dyDescent="0.2">
      <c r="A11" t="s">
        <v>146</v>
      </c>
      <c r="C11" s="16">
        <v>5.5E-2</v>
      </c>
      <c r="M11" t="s">
        <v>173</v>
      </c>
    </row>
    <row r="12" spans="1:13" x14ac:dyDescent="0.2">
      <c r="A12" t="s">
        <v>147</v>
      </c>
      <c r="C12" s="16">
        <v>5.6000000000000001E-2</v>
      </c>
      <c r="M12" t="s">
        <v>174</v>
      </c>
    </row>
    <row r="13" spans="1:13" x14ac:dyDescent="0.2">
      <c r="A13" t="s">
        <v>178</v>
      </c>
      <c r="C13" s="16">
        <v>5.0000000000000001E-3</v>
      </c>
      <c r="M13" t="s">
        <v>175</v>
      </c>
    </row>
    <row r="14" spans="1:13" x14ac:dyDescent="0.2">
      <c r="A14" t="s">
        <v>179</v>
      </c>
      <c r="C14" s="16">
        <v>6.5000000000000002E-2</v>
      </c>
      <c r="M14" t="s">
        <v>176</v>
      </c>
    </row>
    <row r="16" spans="1:13" x14ac:dyDescent="0.2">
      <c r="A16" s="1" t="s">
        <v>148</v>
      </c>
    </row>
    <row r="17" spans="1:13" x14ac:dyDescent="0.2">
      <c r="A17" t="s">
        <v>5</v>
      </c>
      <c r="B17" s="15">
        <f>Historicals!D3</f>
        <v>1800</v>
      </c>
      <c r="C17" s="24">
        <f>B17*(1+C6)</f>
        <v>2178</v>
      </c>
      <c r="D17" s="24">
        <f t="shared" ref="D17:L17" si="5">C17*(1+D6)</f>
        <v>2596.6600000000003</v>
      </c>
      <c r="E17" s="24">
        <f t="shared" si="5"/>
        <v>3049.6329111111113</v>
      </c>
      <c r="F17" s="24">
        <f t="shared" si="5"/>
        <v>3527.408733851852</v>
      </c>
      <c r="G17" s="24">
        <f t="shared" si="5"/>
        <v>4017.3266135534982</v>
      </c>
      <c r="H17" s="24">
        <f t="shared" si="5"/>
        <v>4503.8695034171997</v>
      </c>
      <c r="I17" s="24">
        <f t="shared" si="5"/>
        <v>4969.2693521036435</v>
      </c>
      <c r="J17" s="24">
        <f t="shared" si="5"/>
        <v>5394.4179522280665</v>
      </c>
      <c r="K17" s="24">
        <f t="shared" si="5"/>
        <v>5760.0396134346347</v>
      </c>
      <c r="L17" s="24">
        <f t="shared" si="5"/>
        <v>6048.0415941063666</v>
      </c>
    </row>
    <row r="18" spans="1:13" x14ac:dyDescent="0.2">
      <c r="A18" t="s">
        <v>6</v>
      </c>
      <c r="B18" s="15">
        <f>Historicals!D4</f>
        <v>1219</v>
      </c>
      <c r="C18" s="24">
        <f>B18*(1+C7)</f>
        <v>1377.4699999999998</v>
      </c>
      <c r="D18" s="24">
        <f t="shared" ref="D18:L18" si="6">C18*(1+D7)</f>
        <v>1544.2969222222221</v>
      </c>
      <c r="E18" s="24">
        <f t="shared" si="6"/>
        <v>1717.601354604938</v>
      </c>
      <c r="F18" s="24">
        <f t="shared" si="6"/>
        <v>1895.0868279141148</v>
      </c>
      <c r="G18" s="24">
        <f t="shared" si="6"/>
        <v>2074.0672505504481</v>
      </c>
      <c r="H18" s="24">
        <f t="shared" si="6"/>
        <v>2251.5152264308754</v>
      </c>
      <c r="I18" s="24">
        <f t="shared" si="6"/>
        <v>2424.1313937905757</v>
      </c>
      <c r="J18" s="24">
        <f t="shared" si="6"/>
        <v>2588.4336327030478</v>
      </c>
      <c r="K18" s="24">
        <f t="shared" si="6"/>
        <v>2740.8636132955603</v>
      </c>
      <c r="L18" s="24">
        <f t="shared" si="6"/>
        <v>2877.9067939603383</v>
      </c>
    </row>
    <row r="19" spans="1:13" x14ac:dyDescent="0.2">
      <c r="A19" t="s">
        <v>39</v>
      </c>
      <c r="B19" s="15">
        <f>Historicals!D5</f>
        <v>347</v>
      </c>
      <c r="C19" s="24">
        <f>B19*(1+C8)</f>
        <v>555.20000000000005</v>
      </c>
      <c r="D19" s="24">
        <f t="shared" ref="D19:L19" si="7">C19*(1+D8)</f>
        <v>721.7600000000001</v>
      </c>
      <c r="E19" s="24">
        <f t="shared" si="7"/>
        <v>915.73300000000017</v>
      </c>
      <c r="F19" s="24">
        <f t="shared" si="7"/>
        <v>1133.2195875000002</v>
      </c>
      <c r="G19" s="24">
        <f t="shared" si="7"/>
        <v>1366.9461274218754</v>
      </c>
      <c r="H19" s="24">
        <f t="shared" si="7"/>
        <v>1606.1616997207036</v>
      </c>
      <c r="I19" s="24">
        <f t="shared" si="7"/>
        <v>1837.0474440555549</v>
      </c>
      <c r="J19" s="24">
        <f t="shared" si="7"/>
        <v>2043.715281511805</v>
      </c>
      <c r="K19" s="24">
        <f t="shared" si="7"/>
        <v>2209.7671481346392</v>
      </c>
      <c r="L19" s="24">
        <f t="shared" si="7"/>
        <v>2320.2555055413713</v>
      </c>
    </row>
    <row r="20" spans="1:13" x14ac:dyDescent="0.2">
      <c r="A20" t="s">
        <v>51</v>
      </c>
      <c r="B20" s="15">
        <f>Historicals!D6</f>
        <v>4</v>
      </c>
      <c r="C20" s="24">
        <f>B20</f>
        <v>4</v>
      </c>
      <c r="D20" s="24">
        <f t="shared" ref="D20:L20" si="8">C20</f>
        <v>4</v>
      </c>
      <c r="E20" s="24">
        <f t="shared" si="8"/>
        <v>4</v>
      </c>
      <c r="F20" s="24">
        <f t="shared" si="8"/>
        <v>4</v>
      </c>
      <c r="G20" s="24">
        <f t="shared" si="8"/>
        <v>4</v>
      </c>
      <c r="H20" s="24">
        <f t="shared" si="8"/>
        <v>4</v>
      </c>
      <c r="I20" s="24">
        <f t="shared" si="8"/>
        <v>4</v>
      </c>
      <c r="J20" s="24">
        <f t="shared" si="8"/>
        <v>4</v>
      </c>
      <c r="K20" s="24">
        <f t="shared" si="8"/>
        <v>4</v>
      </c>
      <c r="L20" s="24">
        <f t="shared" si="8"/>
        <v>4</v>
      </c>
    </row>
    <row r="21" spans="1:13" x14ac:dyDescent="0.2">
      <c r="A21" t="s">
        <v>149</v>
      </c>
      <c r="B21" s="2">
        <f>SUM(B17:B20)</f>
        <v>3370</v>
      </c>
      <c r="C21" s="24">
        <f>SUM(C17:C20)</f>
        <v>4114.67</v>
      </c>
      <c r="D21" s="24">
        <f t="shared" ref="D21:L21" si="9">SUM(D17:D20)</f>
        <v>4866.7169222222228</v>
      </c>
      <c r="E21" s="24">
        <f t="shared" si="9"/>
        <v>5686.96726571605</v>
      </c>
      <c r="F21" s="24">
        <f t="shared" si="9"/>
        <v>6559.7151492659668</v>
      </c>
      <c r="G21" s="24">
        <f t="shared" si="9"/>
        <v>7462.3399915258215</v>
      </c>
      <c r="H21" s="24">
        <f t="shared" si="9"/>
        <v>8365.546429568778</v>
      </c>
      <c r="I21" s="24">
        <f t="shared" si="9"/>
        <v>9234.448189949775</v>
      </c>
      <c r="J21" s="24">
        <f t="shared" si="9"/>
        <v>10030.566866442919</v>
      </c>
      <c r="K21" s="24">
        <f t="shared" si="9"/>
        <v>10714.670374864834</v>
      </c>
      <c r="L21" s="24">
        <f t="shared" si="9"/>
        <v>11250.203893608075</v>
      </c>
    </row>
    <row r="22" spans="1:13" x14ac:dyDescent="0.2">
      <c r="A22" t="s">
        <v>54</v>
      </c>
      <c r="B22" s="25">
        <f>Historicals!D10</f>
        <v>0.20486235252055773</v>
      </c>
      <c r="C22" s="12">
        <f>C21/B21-1</f>
        <v>0.22097032640949554</v>
      </c>
      <c r="D22" s="12">
        <f t="shared" ref="D22:L22" si="10">D21/C21-1</f>
        <v>0.18277211106169466</v>
      </c>
      <c r="E22" s="12">
        <f t="shared" si="10"/>
        <v>0.16854285067381469</v>
      </c>
      <c r="F22" s="12">
        <f t="shared" si="10"/>
        <v>0.15346455197857178</v>
      </c>
      <c r="G22" s="12">
        <f t="shared" si="10"/>
        <v>0.13760122531553187</v>
      </c>
      <c r="H22" s="12">
        <f t="shared" si="10"/>
        <v>0.12103528371377226</v>
      </c>
      <c r="I22" s="12">
        <f t="shared" si="10"/>
        <v>0.10386670705810497</v>
      </c>
      <c r="J22" s="12">
        <f t="shared" si="10"/>
        <v>8.6211829891426728E-2</v>
      </c>
      <c r="K22" s="12">
        <f t="shared" si="10"/>
        <v>6.8201879069324622E-2</v>
      </c>
      <c r="L22" s="12">
        <f t="shared" si="10"/>
        <v>4.9981334003473377E-2</v>
      </c>
    </row>
    <row r="23" spans="1:13" x14ac:dyDescent="0.2">
      <c r="A23" t="s">
        <v>150</v>
      </c>
      <c r="C23" s="6">
        <v>4125</v>
      </c>
      <c r="M23" t="s">
        <v>187</v>
      </c>
    </row>
    <row r="24" spans="1:13" x14ac:dyDescent="0.2">
      <c r="A24" t="s">
        <v>151</v>
      </c>
      <c r="C24" s="12">
        <f>C21/C23-1</f>
        <v>-2.5042424242424088E-3</v>
      </c>
    </row>
    <row r="26" spans="1:13" x14ac:dyDescent="0.2">
      <c r="A26" s="1" t="s">
        <v>152</v>
      </c>
    </row>
    <row r="27" spans="1:13" x14ac:dyDescent="0.2">
      <c r="A27" t="s">
        <v>153</v>
      </c>
      <c r="B27" s="15">
        <f>Historicals!D13</f>
        <v>65</v>
      </c>
      <c r="C27" s="26">
        <f>C21*C9</f>
        <v>164.58680000000001</v>
      </c>
      <c r="D27" s="26">
        <f t="shared" ref="D27:L27" si="11">D21*D9</f>
        <v>254.15077260493831</v>
      </c>
      <c r="E27" s="26">
        <f t="shared" si="11"/>
        <v>366.49344601281211</v>
      </c>
      <c r="F27" s="26">
        <f t="shared" si="11"/>
        <v>502.91149477705744</v>
      </c>
      <c r="G27" s="26">
        <f t="shared" si="11"/>
        <v>663.31911035785072</v>
      </c>
      <c r="H27" s="26">
        <f t="shared" si="11"/>
        <v>845.84969454528743</v>
      </c>
      <c r="I27" s="26">
        <f t="shared" si="11"/>
        <v>1046.5707948609743</v>
      </c>
      <c r="J27" s="26">
        <f t="shared" si="11"/>
        <v>1259.3933954533886</v>
      </c>
      <c r="K27" s="26">
        <f t="shared" si="11"/>
        <v>1476.2434738702657</v>
      </c>
      <c r="L27" s="26">
        <f t="shared" si="11"/>
        <v>1687.5305840412113</v>
      </c>
    </row>
    <row r="28" spans="1:13" x14ac:dyDescent="0.2">
      <c r="A28" t="s">
        <v>154</v>
      </c>
      <c r="C28" s="26">
        <f>-MAX(C27,0)*$C$10</f>
        <v>-36.209096000000002</v>
      </c>
      <c r="D28" s="26">
        <f t="shared" ref="D28:L28" si="12">-MAX(D27,0)*$C$10</f>
        <v>-55.913169973086426</v>
      </c>
      <c r="E28" s="26">
        <f t="shared" si="12"/>
        <v>-80.62855812281866</v>
      </c>
      <c r="F28" s="26">
        <f t="shared" si="12"/>
        <v>-110.64052885095263</v>
      </c>
      <c r="G28" s="26">
        <f t="shared" si="12"/>
        <v>-145.93020427872716</v>
      </c>
      <c r="H28" s="26">
        <f t="shared" si="12"/>
        <v>-186.08693279996325</v>
      </c>
      <c r="I28" s="26">
        <f t="shared" si="12"/>
        <v>-230.24557486941436</v>
      </c>
      <c r="J28" s="26">
        <f t="shared" si="12"/>
        <v>-277.06654699974553</v>
      </c>
      <c r="K28" s="26">
        <f t="shared" si="12"/>
        <v>-324.77356425145848</v>
      </c>
      <c r="L28" s="26">
        <f t="shared" si="12"/>
        <v>-371.25672848906652</v>
      </c>
    </row>
    <row r="29" spans="1:13" x14ac:dyDescent="0.2">
      <c r="A29" t="s">
        <v>155</v>
      </c>
      <c r="C29" s="26">
        <f>C27+C28</f>
        <v>128.37770399999999</v>
      </c>
      <c r="D29" s="26">
        <f t="shared" ref="D29:L29" si="13">D27+D28</f>
        <v>198.23760263185187</v>
      </c>
      <c r="E29" s="26">
        <f t="shared" si="13"/>
        <v>285.86488788999344</v>
      </c>
      <c r="F29" s="26">
        <f t="shared" si="13"/>
        <v>392.27096592610479</v>
      </c>
      <c r="G29" s="26">
        <f t="shared" si="13"/>
        <v>517.38890607912356</v>
      </c>
      <c r="H29" s="26">
        <f t="shared" si="13"/>
        <v>659.76276174532416</v>
      </c>
      <c r="I29" s="26">
        <f t="shared" si="13"/>
        <v>816.32521999155995</v>
      </c>
      <c r="J29" s="26">
        <f t="shared" si="13"/>
        <v>982.32684845364315</v>
      </c>
      <c r="K29" s="26">
        <f t="shared" si="13"/>
        <v>1151.4699096188072</v>
      </c>
      <c r="L29" s="26">
        <f t="shared" si="13"/>
        <v>1316.2738555521448</v>
      </c>
    </row>
    <row r="30" spans="1:13" x14ac:dyDescent="0.2">
      <c r="A30" s="23" t="s">
        <v>180</v>
      </c>
      <c r="B30" s="15">
        <f>Historicals!D15</f>
        <v>177</v>
      </c>
      <c r="C30" s="26">
        <f>C21*$C$11</f>
        <v>226.30685</v>
      </c>
      <c r="D30" s="26">
        <f t="shared" ref="D30:L30" si="14">D21*$C$11</f>
        <v>267.66943072222227</v>
      </c>
      <c r="E30" s="26">
        <f t="shared" si="14"/>
        <v>312.78319961438274</v>
      </c>
      <c r="F30" s="26">
        <f t="shared" si="14"/>
        <v>360.78433320962819</v>
      </c>
      <c r="G30" s="26">
        <f t="shared" si="14"/>
        <v>410.42869953392017</v>
      </c>
      <c r="H30" s="26">
        <f t="shared" si="14"/>
        <v>460.10505362628277</v>
      </c>
      <c r="I30" s="26">
        <f t="shared" si="14"/>
        <v>507.89465044723761</v>
      </c>
      <c r="J30" s="26">
        <f t="shared" si="14"/>
        <v>551.68117765436057</v>
      </c>
      <c r="K30" s="26">
        <f t="shared" si="14"/>
        <v>589.30687061756589</v>
      </c>
      <c r="L30" s="26">
        <f t="shared" si="14"/>
        <v>618.7612141484442</v>
      </c>
    </row>
    <row r="31" spans="1:13" x14ac:dyDescent="0.2">
      <c r="A31" s="23" t="s">
        <v>181</v>
      </c>
      <c r="B31" s="15">
        <f>Historicals!D74</f>
        <v>-188</v>
      </c>
      <c r="C31" s="26">
        <f>-C21*$C$12</f>
        <v>-230.42152000000002</v>
      </c>
      <c r="D31" s="26">
        <f t="shared" ref="D31:L31" si="15">-D21*$C$12</f>
        <v>-272.5361476444445</v>
      </c>
      <c r="E31" s="26">
        <f t="shared" si="15"/>
        <v>-318.47016688009882</v>
      </c>
      <c r="F31" s="26">
        <f t="shared" si="15"/>
        <v>-367.34404835889416</v>
      </c>
      <c r="G31" s="26">
        <f t="shared" si="15"/>
        <v>-417.89103952544599</v>
      </c>
      <c r="H31" s="26">
        <f t="shared" si="15"/>
        <v>-468.47060005585155</v>
      </c>
      <c r="I31" s="26">
        <f t="shared" si="15"/>
        <v>-517.12909863718744</v>
      </c>
      <c r="J31" s="26">
        <f t="shared" si="15"/>
        <v>-561.71174452080345</v>
      </c>
      <c r="K31" s="26">
        <f t="shared" si="15"/>
        <v>-600.02154099243069</v>
      </c>
      <c r="L31" s="26">
        <f t="shared" si="15"/>
        <v>-630.01141804205224</v>
      </c>
    </row>
    <row r="32" spans="1:13" x14ac:dyDescent="0.2">
      <c r="A32" s="23" t="s">
        <v>182</v>
      </c>
      <c r="B32" s="15"/>
      <c r="C32" s="26">
        <f>-C21*$C$13</f>
        <v>-20.573350000000001</v>
      </c>
      <c r="D32" s="26">
        <f t="shared" ref="D32:L32" si="16">-D21*$C$13</f>
        <v>-24.333584611111114</v>
      </c>
      <c r="E32" s="26">
        <f t="shared" si="16"/>
        <v>-28.43483632858025</v>
      </c>
      <c r="F32" s="26">
        <f t="shared" si="16"/>
        <v>-32.798575746329831</v>
      </c>
      <c r="G32" s="26">
        <f t="shared" si="16"/>
        <v>-37.311699957629109</v>
      </c>
      <c r="H32" s="26">
        <f t="shared" si="16"/>
        <v>-41.827732147843889</v>
      </c>
      <c r="I32" s="26">
        <f t="shared" si="16"/>
        <v>-46.172240949748875</v>
      </c>
      <c r="J32" s="26">
        <f t="shared" si="16"/>
        <v>-50.152834332214596</v>
      </c>
      <c r="K32" s="26">
        <f t="shared" si="16"/>
        <v>-53.573351874324175</v>
      </c>
      <c r="L32" s="26">
        <f t="shared" si="16"/>
        <v>-56.251019468040376</v>
      </c>
    </row>
    <row r="33" spans="1:12" x14ac:dyDescent="0.2">
      <c r="A33" t="s">
        <v>156</v>
      </c>
      <c r="C33" s="26">
        <f>C29+C30+C31+C32</f>
        <v>103.68968399999997</v>
      </c>
      <c r="D33" s="26">
        <f t="shared" ref="D33:L33" si="17">D29+D30+D31+D32</f>
        <v>169.03730109851853</v>
      </c>
      <c r="E33" s="26">
        <f t="shared" si="17"/>
        <v>251.74308429569717</v>
      </c>
      <c r="F33" s="26">
        <f t="shared" si="17"/>
        <v>352.91267503050898</v>
      </c>
      <c r="G33" s="26">
        <f t="shared" si="17"/>
        <v>472.61486612996862</v>
      </c>
      <c r="H33" s="26">
        <f t="shared" si="17"/>
        <v>609.56948316791147</v>
      </c>
      <c r="I33" s="26">
        <f t="shared" si="17"/>
        <v>760.91853085186108</v>
      </c>
      <c r="J33" s="26">
        <f t="shared" si="17"/>
        <v>922.14344725498574</v>
      </c>
      <c r="K33" s="26">
        <f t="shared" si="17"/>
        <v>1087.1818873696184</v>
      </c>
      <c r="L33" s="26">
        <f t="shared" si="17"/>
        <v>1248.7726321904966</v>
      </c>
    </row>
    <row r="34" spans="1:12" x14ac:dyDescent="0.2">
      <c r="A34" t="s">
        <v>157</v>
      </c>
      <c r="B34" s="3"/>
      <c r="C34" s="12">
        <f>C33/C21</f>
        <v>2.5199999999999993E-2</v>
      </c>
      <c r="D34" s="12">
        <f t="shared" ref="D34:L34" si="18">D33/D21</f>
        <v>3.4733333333333331E-2</v>
      </c>
      <c r="E34" s="12">
        <f t="shared" si="18"/>
        <v>4.4266666666666669E-2</v>
      </c>
      <c r="F34" s="12">
        <f t="shared" si="18"/>
        <v>5.3799999999999994E-2</v>
      </c>
      <c r="G34" s="12">
        <f t="shared" si="18"/>
        <v>6.3333333333333325E-2</v>
      </c>
      <c r="H34" s="12">
        <f t="shared" si="18"/>
        <v>7.2866666666666649E-2</v>
      </c>
      <c r="I34" s="12">
        <f t="shared" si="18"/>
        <v>8.2399999999999959E-2</v>
      </c>
      <c r="J34" s="12">
        <f t="shared" si="18"/>
        <v>9.1933333333333339E-2</v>
      </c>
      <c r="K34" s="12">
        <f t="shared" si="18"/>
        <v>0.10146666666666665</v>
      </c>
      <c r="L34" s="12">
        <f t="shared" si="18"/>
        <v>0.11100000000000002</v>
      </c>
    </row>
    <row r="36" spans="1:12" x14ac:dyDescent="0.2">
      <c r="A36" s="1" t="s">
        <v>188</v>
      </c>
    </row>
    <row r="37" spans="1:12" x14ac:dyDescent="0.2">
      <c r="A37" t="s">
        <v>169</v>
      </c>
      <c r="B37" s="15">
        <f>Historicals!D22</f>
        <v>500</v>
      </c>
      <c r="C37" s="2">
        <f>C27+C30+C21*$C$14</f>
        <v>658.34719999999993</v>
      </c>
      <c r="D37" s="2">
        <f t="shared" ref="D37:L37" si="19">D27+D30+D21*$C$14</f>
        <v>838.1568032716051</v>
      </c>
      <c r="E37" s="2">
        <f t="shared" si="19"/>
        <v>1048.9295178987381</v>
      </c>
      <c r="F37" s="2">
        <f t="shared" si="19"/>
        <v>1290.0773126889735</v>
      </c>
      <c r="G37" s="2">
        <f t="shared" si="19"/>
        <v>1558.7999093409494</v>
      </c>
      <c r="H37" s="2">
        <f t="shared" si="19"/>
        <v>1849.7152660935408</v>
      </c>
      <c r="I37" s="2">
        <f t="shared" si="19"/>
        <v>2154.7045776549471</v>
      </c>
      <c r="J37" s="2">
        <f t="shared" si="19"/>
        <v>2463.061419426539</v>
      </c>
      <c r="K37" s="2">
        <f t="shared" si="19"/>
        <v>2762.0039188540459</v>
      </c>
      <c r="L37" s="2">
        <f t="shared" si="19"/>
        <v>3037.5550512741802</v>
      </c>
    </row>
    <row r="38" spans="1:12" x14ac:dyDescent="0.2">
      <c r="A38" t="s">
        <v>170</v>
      </c>
      <c r="B38" s="12">
        <f>B37/B21</f>
        <v>0.14836795252225518</v>
      </c>
      <c r="C38" s="12">
        <f>C37/C21</f>
        <v>0.15999999999999998</v>
      </c>
      <c r="D38" s="12">
        <f t="shared" ref="D38:L38" si="20">D37/D21</f>
        <v>0.17222222222222222</v>
      </c>
      <c r="E38" s="12">
        <f t="shared" si="20"/>
        <v>0.18444444444444444</v>
      </c>
      <c r="F38" s="12">
        <f t="shared" si="20"/>
        <v>0.19666666666666668</v>
      </c>
      <c r="G38" s="12">
        <f t="shared" si="20"/>
        <v>0.2088888888888889</v>
      </c>
      <c r="H38" s="12">
        <f t="shared" si="20"/>
        <v>0.22111111111111109</v>
      </c>
      <c r="I38" s="12">
        <f t="shared" si="20"/>
        <v>0.23333333333333328</v>
      </c>
      <c r="J38" s="12">
        <f t="shared" si="20"/>
        <v>0.24555555555555555</v>
      </c>
      <c r="K38" s="12">
        <f t="shared" si="20"/>
        <v>0.25777777777777777</v>
      </c>
      <c r="L38" s="12">
        <f t="shared" si="20"/>
        <v>0.26999999999999996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0321A-F728-DD44-A05B-592809F976C1}">
  <dimension ref="A1:C19"/>
  <sheetViews>
    <sheetView workbookViewId="0">
      <selection activeCell="A3" sqref="A3"/>
    </sheetView>
  </sheetViews>
  <sheetFormatPr baseColWidth="10" defaultRowHeight="16" x14ac:dyDescent="0.2"/>
  <cols>
    <col min="1" max="1" width="29.6640625" customWidth="1"/>
    <col min="3" max="3" width="152.5" customWidth="1"/>
  </cols>
  <sheetData>
    <row r="1" spans="1:3" x14ac:dyDescent="0.2">
      <c r="A1" s="1" t="s">
        <v>189</v>
      </c>
    </row>
    <row r="4" spans="1:3" x14ac:dyDescent="0.2">
      <c r="A4" t="s">
        <v>190</v>
      </c>
      <c r="B4" s="19">
        <v>5.3100000000000001E-2</v>
      </c>
      <c r="C4" t="s">
        <v>206</v>
      </c>
    </row>
    <row r="5" spans="1:3" x14ac:dyDescent="0.2">
      <c r="A5" t="s">
        <v>208</v>
      </c>
      <c r="B5" s="19">
        <v>4.2299999999999997E-2</v>
      </c>
      <c r="C5" t="s">
        <v>202</v>
      </c>
    </row>
    <row r="6" spans="1:3" x14ac:dyDescent="0.2">
      <c r="A6" t="s">
        <v>200</v>
      </c>
      <c r="B6" s="19">
        <v>1.72E-2</v>
      </c>
      <c r="C6" t="s">
        <v>207</v>
      </c>
    </row>
    <row r="7" spans="1:3" ht="51" x14ac:dyDescent="0.2">
      <c r="A7" t="s">
        <v>191</v>
      </c>
      <c r="B7" s="27">
        <v>1.3</v>
      </c>
      <c r="C7" s="9" t="s">
        <v>203</v>
      </c>
    </row>
    <row r="8" spans="1:3" x14ac:dyDescent="0.2">
      <c r="A8" s="1" t="s">
        <v>192</v>
      </c>
      <c r="B8" s="18">
        <f>B4+B7*B5+B6</f>
        <v>0.12528999999999998</v>
      </c>
    </row>
    <row r="9" spans="1:3" x14ac:dyDescent="0.2">
      <c r="A9" t="s">
        <v>270</v>
      </c>
      <c r="B9" s="14">
        <v>0.02</v>
      </c>
    </row>
    <row r="10" spans="1:3" ht="34" x14ac:dyDescent="0.2">
      <c r="A10" t="s">
        <v>193</v>
      </c>
      <c r="B10" s="13">
        <f>B4+B9</f>
        <v>7.3099999999999998E-2</v>
      </c>
      <c r="C10" s="9" t="s">
        <v>199</v>
      </c>
    </row>
    <row r="11" spans="1:3" x14ac:dyDescent="0.2">
      <c r="A11" t="s">
        <v>145</v>
      </c>
      <c r="B11" s="28">
        <f>Forecast!C10</f>
        <v>0.22</v>
      </c>
    </row>
    <row r="12" spans="1:3" x14ac:dyDescent="0.2">
      <c r="A12" t="s">
        <v>194</v>
      </c>
      <c r="B12" s="18">
        <f>B10*(1-B11)</f>
        <v>5.7017999999999999E-2</v>
      </c>
    </row>
    <row r="14" spans="1:3" x14ac:dyDescent="0.2">
      <c r="A14" t="s">
        <v>195</v>
      </c>
      <c r="B14" s="6">
        <v>3.07</v>
      </c>
      <c r="C14" t="s">
        <v>201</v>
      </c>
    </row>
    <row r="15" spans="1:3" ht="34" x14ac:dyDescent="0.2">
      <c r="A15" t="s">
        <v>196</v>
      </c>
      <c r="B15" s="24">
        <f>B14*Historicals!E59</f>
        <v>12522.529999999999</v>
      </c>
      <c r="C15" s="9" t="s">
        <v>204</v>
      </c>
    </row>
    <row r="16" spans="1:3" ht="51" x14ac:dyDescent="0.2">
      <c r="A16" t="s">
        <v>209</v>
      </c>
      <c r="B16" s="15">
        <f>Historicals!E46</f>
        <v>2033</v>
      </c>
      <c r="C16" s="9" t="s">
        <v>205</v>
      </c>
    </row>
    <row r="17" spans="1:2" x14ac:dyDescent="0.2">
      <c r="A17" t="s">
        <v>197</v>
      </c>
      <c r="B17" s="12">
        <f>B15/(B15+B16)</f>
        <v>0.86032799904915858</v>
      </c>
    </row>
    <row r="18" spans="1:2" x14ac:dyDescent="0.2">
      <c r="A18" t="s">
        <v>198</v>
      </c>
      <c r="B18" s="12">
        <f>B16/(B15+B16)</f>
        <v>0.13967200095084137</v>
      </c>
    </row>
    <row r="19" spans="1:2" x14ac:dyDescent="0.2">
      <c r="A19" t="s">
        <v>189</v>
      </c>
      <c r="B19" s="13">
        <f>B17*B8+B18*B12</f>
        <v>0.11575431315108414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4D465-51FD-124C-9988-35DA1A311AA5}">
  <dimension ref="A2:L27"/>
  <sheetViews>
    <sheetView workbookViewId="0">
      <selection activeCell="B26" sqref="B26"/>
    </sheetView>
  </sheetViews>
  <sheetFormatPr baseColWidth="10" defaultRowHeight="16" x14ac:dyDescent="0.2"/>
  <cols>
    <col min="1" max="1" width="38.5" customWidth="1"/>
    <col min="3" max="3" width="33.5" customWidth="1"/>
    <col min="4" max="12" width="11.6640625" bestFit="1" customWidth="1"/>
  </cols>
  <sheetData>
    <row r="2" spans="1:12" x14ac:dyDescent="0.2">
      <c r="A2" t="s">
        <v>10</v>
      </c>
      <c r="C2" s="29" t="str">
        <f>Forecast!C2</f>
        <v>FY26E</v>
      </c>
      <c r="D2" s="29" t="str">
        <f>Forecast!D2</f>
        <v>FY27E</v>
      </c>
      <c r="E2" s="29" t="str">
        <f>Forecast!E2</f>
        <v>FY28E</v>
      </c>
      <c r="F2" s="29" t="str">
        <f>Forecast!F2</f>
        <v>FY29E</v>
      </c>
      <c r="G2" s="29" t="str">
        <f>Forecast!G2</f>
        <v>FY30E</v>
      </c>
      <c r="H2" s="29" t="str">
        <f>Forecast!H2</f>
        <v>FY31E</v>
      </c>
      <c r="I2" s="29" t="str">
        <f>Forecast!I2</f>
        <v>FY32E</v>
      </c>
      <c r="J2" s="29" t="str">
        <f>Forecast!J2</f>
        <v>FY33E</v>
      </c>
      <c r="K2" s="29" t="str">
        <f>Forecast!K2</f>
        <v>FY34E</v>
      </c>
      <c r="L2" s="29" t="str">
        <f>Forecast!L2</f>
        <v>FY35E</v>
      </c>
    </row>
    <row r="3" spans="1:12" x14ac:dyDescent="0.2">
      <c r="A3" t="s">
        <v>210</v>
      </c>
      <c r="C3" s="29">
        <f>Forecast!C3</f>
        <v>1</v>
      </c>
      <c r="D3" s="29">
        <f>Forecast!D3</f>
        <v>2</v>
      </c>
      <c r="E3" s="29">
        <f>Forecast!E3</f>
        <v>3</v>
      </c>
      <c r="F3" s="29">
        <f>Forecast!F3</f>
        <v>4</v>
      </c>
      <c r="G3" s="29">
        <f>Forecast!G3</f>
        <v>5</v>
      </c>
      <c r="H3" s="29">
        <f>Forecast!H3</f>
        <v>6</v>
      </c>
      <c r="I3" s="29">
        <f>Forecast!I3</f>
        <v>7</v>
      </c>
      <c r="J3" s="29">
        <f>Forecast!J3</f>
        <v>8</v>
      </c>
      <c r="K3" s="29">
        <f>Forecast!K3</f>
        <v>9</v>
      </c>
      <c r="L3" s="29">
        <f>Forecast!L3</f>
        <v>10</v>
      </c>
    </row>
    <row r="5" spans="1:12" x14ac:dyDescent="0.2">
      <c r="A5" t="s">
        <v>156</v>
      </c>
      <c r="C5" s="15">
        <f>Forecast!C33</f>
        <v>103.68968399999997</v>
      </c>
      <c r="D5" s="15">
        <f>Forecast!D33</f>
        <v>169.03730109851853</v>
      </c>
      <c r="E5" s="15">
        <f>Forecast!E33</f>
        <v>251.74308429569717</v>
      </c>
      <c r="F5" s="15">
        <f>Forecast!F33</f>
        <v>352.91267503050898</v>
      </c>
      <c r="G5" s="15">
        <f>Forecast!G33</f>
        <v>472.61486612996862</v>
      </c>
      <c r="H5" s="15">
        <f>Forecast!H33</f>
        <v>609.56948316791147</v>
      </c>
      <c r="I5" s="15">
        <f>Forecast!I33</f>
        <v>760.91853085186108</v>
      </c>
      <c r="J5" s="15">
        <f>Forecast!J33</f>
        <v>922.14344725498574</v>
      </c>
      <c r="K5" s="15">
        <f>Forecast!K33</f>
        <v>1087.1818873696184</v>
      </c>
      <c r="L5" s="15">
        <f>Forecast!L33</f>
        <v>1248.7726321904966</v>
      </c>
    </row>
    <row r="6" spans="1:12" x14ac:dyDescent="0.2">
      <c r="A6" t="s">
        <v>211</v>
      </c>
      <c r="C6" s="21">
        <f>1/(1+WACC!$B$19)^C3</f>
        <v>0.89625465769056833</v>
      </c>
      <c r="D6" s="21">
        <f>1/(1+WACC!$B$19)^D3</f>
        <v>0.80327241143203776</v>
      </c>
      <c r="E6" s="21">
        <f>1/(1+WACC!$B$19)^E3</f>
        <v>0.71993664014029835</v>
      </c>
      <c r="F6" s="21">
        <f>1/(1+WACC!$B$19)^F3</f>
        <v>0.645246566967841</v>
      </c>
      <c r="G6" s="21">
        <f>1/(1+WACC!$B$19)^G3</f>
        <v>0.57830524100377667</v>
      </c>
      <c r="H6" s="21">
        <f>1/(1+WACC!$B$19)^H3</f>
        <v>0.51830876581650154</v>
      </c>
      <c r="I6" s="21">
        <f>1/(1+WACC!$B$19)^I3</f>
        <v>0.46453664548488949</v>
      </c>
      <c r="J6" s="21">
        <f>1/(1+WACC!$B$19)^J3</f>
        <v>0.41634313218378449</v>
      </c>
      <c r="K6" s="21">
        <f>1/(1+WACC!$B$19)^K3</f>
        <v>0.37314947141719679</v>
      </c>
      <c r="L6" s="21">
        <f>1/(1+WACC!$B$19)^L3</f>
        <v>0.33443695177243626</v>
      </c>
    </row>
    <row r="7" spans="1:12" x14ac:dyDescent="0.2">
      <c r="A7" t="s">
        <v>212</v>
      </c>
      <c r="C7" s="20">
        <f>C5*C6</f>
        <v>92.932362239463174</v>
      </c>
      <c r="D7" s="20">
        <f t="shared" ref="D7:L7" si="0">D5*D6</f>
        <v>135.78300047537041</v>
      </c>
      <c r="E7" s="20">
        <f t="shared" si="0"/>
        <v>181.23907028640014</v>
      </c>
      <c r="F7" s="20">
        <f t="shared" si="0"/>
        <v>227.71569200287323</v>
      </c>
      <c r="G7" s="20">
        <f t="shared" si="0"/>
        <v>273.31565405925915</v>
      </c>
      <c r="H7" s="20">
        <f t="shared" si="0"/>
        <v>315.9452065001629</v>
      </c>
      <c r="I7" s="20">
        <f t="shared" si="0"/>
        <v>353.47454180921392</v>
      </c>
      <c r="J7" s="20">
        <f t="shared" si="0"/>
        <v>383.92809115289322</v>
      </c>
      <c r="K7" s="20">
        <f t="shared" si="0"/>
        <v>405.68134660632347</v>
      </c>
      <c r="L7" s="20">
        <f t="shared" si="0"/>
        <v>417.63571256663141</v>
      </c>
    </row>
    <row r="8" spans="1:12" x14ac:dyDescent="0.2">
      <c r="C8" s="20"/>
      <c r="D8" s="20"/>
      <c r="E8" s="20"/>
      <c r="F8" s="20"/>
      <c r="G8" s="20"/>
      <c r="H8" s="20"/>
      <c r="I8" s="20"/>
      <c r="J8" s="20"/>
      <c r="K8" s="20"/>
      <c r="L8" s="20"/>
    </row>
    <row r="9" spans="1:12" x14ac:dyDescent="0.2">
      <c r="A9" t="s">
        <v>213</v>
      </c>
      <c r="B9" s="24">
        <f>SUM(C7:L7)</f>
        <v>2787.6506776985912</v>
      </c>
    </row>
    <row r="10" spans="1:12" x14ac:dyDescent="0.2">
      <c r="A10" t="s">
        <v>214</v>
      </c>
      <c r="B10" s="19">
        <v>2.5000000000000001E-2</v>
      </c>
    </row>
    <row r="11" spans="1:12" x14ac:dyDescent="0.2">
      <c r="A11" t="s">
        <v>217</v>
      </c>
      <c r="B11" s="24">
        <f>L5*(1+B10)</f>
        <v>1279.9919479952589</v>
      </c>
    </row>
    <row r="12" spans="1:12" x14ac:dyDescent="0.2">
      <c r="A12" t="s">
        <v>215</v>
      </c>
      <c r="B12" s="24">
        <f>B11/(WACC!B19-B10)</f>
        <v>14103.924139278974</v>
      </c>
    </row>
    <row r="13" spans="1:12" x14ac:dyDescent="0.2">
      <c r="A13" t="s">
        <v>218</v>
      </c>
      <c r="B13" s="30">
        <f>B12*L6</f>
        <v>4716.8733971701413</v>
      </c>
    </row>
    <row r="14" spans="1:12" x14ac:dyDescent="0.2">
      <c r="A14" t="s">
        <v>216</v>
      </c>
      <c r="B14" s="24">
        <f>B9+B13</f>
        <v>7504.524074868732</v>
      </c>
    </row>
    <row r="15" spans="1:12" x14ac:dyDescent="0.2">
      <c r="A15" t="s">
        <v>230</v>
      </c>
      <c r="B15" s="3">
        <f>B13/B14</f>
        <v>0.62853731297446047</v>
      </c>
    </row>
    <row r="17" spans="1:3" x14ac:dyDescent="0.2">
      <c r="A17" s="1" t="s">
        <v>221</v>
      </c>
    </row>
    <row r="18" spans="1:3" x14ac:dyDescent="0.2">
      <c r="A18" t="s">
        <v>216</v>
      </c>
      <c r="B18" s="26">
        <f>B14</f>
        <v>7504.524074868732</v>
      </c>
    </row>
    <row r="19" spans="1:3" ht="51" x14ac:dyDescent="0.2">
      <c r="A19" s="31" t="s">
        <v>231</v>
      </c>
      <c r="B19" s="26">
        <f>Historicals!E52*1000</f>
        <v>7400</v>
      </c>
      <c r="C19" s="9" t="s">
        <v>224</v>
      </c>
    </row>
    <row r="20" spans="1:3" ht="51" x14ac:dyDescent="0.2">
      <c r="A20" s="31" t="s">
        <v>232</v>
      </c>
      <c r="B20" s="32">
        <f>-Historicals!E43</f>
        <v>-2513</v>
      </c>
      <c r="C20" s="9" t="s">
        <v>225</v>
      </c>
    </row>
    <row r="21" spans="1:3" ht="68" x14ac:dyDescent="0.2">
      <c r="A21" s="31" t="s">
        <v>233</v>
      </c>
      <c r="B21" s="32">
        <f>-Historicals!E46</f>
        <v>-2033</v>
      </c>
      <c r="C21" s="9" t="s">
        <v>226</v>
      </c>
    </row>
    <row r="22" spans="1:3" ht="51" x14ac:dyDescent="0.2">
      <c r="A22" s="31" t="s">
        <v>234</v>
      </c>
      <c r="B22" s="32">
        <f>-Historicals!E44</f>
        <v>-437</v>
      </c>
      <c r="C22" s="9" t="s">
        <v>227</v>
      </c>
    </row>
    <row r="23" spans="1:3" x14ac:dyDescent="0.2">
      <c r="A23" s="1" t="s">
        <v>229</v>
      </c>
      <c r="B23" s="26">
        <f>SUM(B18:B22)</f>
        <v>9921.524074868732</v>
      </c>
    </row>
    <row r="24" spans="1:3" ht="68" x14ac:dyDescent="0.2">
      <c r="A24" t="s">
        <v>222</v>
      </c>
      <c r="B24" s="40">
        <v>4168</v>
      </c>
      <c r="C24" s="9" t="s">
        <v>228</v>
      </c>
    </row>
    <row r="25" spans="1:3" x14ac:dyDescent="0.2">
      <c r="A25" s="1" t="s">
        <v>219</v>
      </c>
      <c r="B25" s="22">
        <f>B23/B24</f>
        <v>2.3804040486729203</v>
      </c>
    </row>
    <row r="26" spans="1:3" x14ac:dyDescent="0.2">
      <c r="A26" t="s">
        <v>220</v>
      </c>
      <c r="B26" s="29">
        <f>WACC!B14</f>
        <v>3.07</v>
      </c>
    </row>
    <row r="27" spans="1:3" x14ac:dyDescent="0.2">
      <c r="A27" s="4" t="s">
        <v>223</v>
      </c>
      <c r="B27" s="3">
        <f>B25/B26-1</f>
        <v>-0.22462408838015624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CDA99-23A3-EB4C-AF27-FA4673D0AA94}">
  <dimension ref="A1:F8"/>
  <sheetViews>
    <sheetView workbookViewId="0">
      <selection activeCell="B17" sqref="B17"/>
    </sheetView>
  </sheetViews>
  <sheetFormatPr baseColWidth="10" defaultRowHeight="16" x14ac:dyDescent="0.2"/>
  <cols>
    <col min="1" max="1" width="49.83203125" customWidth="1"/>
    <col min="2" max="2" width="23.5" customWidth="1"/>
    <col min="8" max="8" width="86" customWidth="1"/>
  </cols>
  <sheetData>
    <row r="1" spans="1:6" x14ac:dyDescent="0.2">
      <c r="A1" t="s">
        <v>236</v>
      </c>
      <c r="B1" t="s">
        <v>235</v>
      </c>
    </row>
    <row r="2" spans="1:6" x14ac:dyDescent="0.2">
      <c r="A2" s="33">
        <f>DCF!B25</f>
        <v>2.3804040486729203</v>
      </c>
      <c r="B2" s="19">
        <v>0.105</v>
      </c>
      <c r="C2" s="19">
        <v>0.11</v>
      </c>
      <c r="D2" s="34">
        <f>WACC!B19</f>
        <v>0.11575431315108414</v>
      </c>
      <c r="E2" s="19">
        <v>0.12</v>
      </c>
      <c r="F2" s="19">
        <v>0.125</v>
      </c>
    </row>
    <row r="3" spans="1:6" x14ac:dyDescent="0.2">
      <c r="A3" s="19">
        <v>1.4999999999999999E-2</v>
      </c>
      <c r="B3" s="35" cm="1">
        <f t="array" ref="B3">(SUMPRODUCT(DCF!$C$5:$L$5/(1+B$2)^DCF!$C$3:$L$3)+DCF!$L$5*(1+$A3)/(B$2-$A3)/(1+B$2)^DCF!$L$3+SUM(DCF!$B$19:$B$22))/DCF!$B$24</f>
        <v>2.5381885088569671</v>
      </c>
      <c r="C3" s="35" cm="1">
        <f t="array" ref="C3">(SUMPRODUCT(DCF!$C$5:$L$5/(1+C$2)^DCF!$C$3:$L$3)+DCF!$L$5*(1+$A3)/(C$2-$A3)/(1+C$2)^DCF!$L$3+SUM(DCF!$B$19:$B$22))/DCF!$B$24</f>
        <v>2.3994429296119901</v>
      </c>
      <c r="D3" s="35" cm="1">
        <f t="array" ref="D3">(SUMPRODUCT(DCF!$C$5:$L$5/(1+D$2)^DCF!$C$3:$L$3)+DCF!$L$5*(1+$A3)/(D$2-$A3)/(1+D$2)^DCF!$L$3+SUM(DCF!$B$19:$B$22))/DCF!$B$24</f>
        <v>2.2581375229376626</v>
      </c>
      <c r="E3" s="35" cm="1">
        <f t="array" ref="E3">(SUMPRODUCT(DCF!$C$5:$L$5/(1+E$2)^DCF!$C$3:$L$3)+DCF!$L$5*(1+$A3)/(E$2-$A3)/(1+E$2)^DCF!$L$3+SUM(DCF!$B$19:$B$22))/DCF!$B$24</f>
        <v>2.1646482854343847</v>
      </c>
      <c r="F3" s="35" cm="1">
        <f t="array" ref="F3">(SUMPRODUCT(DCF!$C$5:$L$5/(1+F$2)^DCF!$C$3:$L$3)+DCF!$L$5*(1+$A3)/(F$2-$A3)/(1+F$2)^DCF!$L$3+SUM(DCF!$B$19:$B$22))/DCF!$B$24</f>
        <v>2.0646427422750331</v>
      </c>
    </row>
    <row r="4" spans="1:6" x14ac:dyDescent="0.2">
      <c r="A4" s="19">
        <v>0.02</v>
      </c>
      <c r="B4" s="35" cm="1">
        <f t="array" ref="B4">(SUMPRODUCT(DCF!$C$5:$L$5/(1+B$2)^DCF!$C$3:$L$3)+DCF!$L$5*(1+$A4)/(B$2-$A4)/(1+B$2)^DCF!$L$3+SUM(DCF!$B$19:$B$22))/DCF!$B$24</f>
        <v>2.6179151979443223</v>
      </c>
      <c r="C4" s="35" cm="1">
        <f t="array" ref="C4">(SUMPRODUCT(DCF!$C$5:$L$5/(1+C$2)^DCF!$C$3:$L$3)+DCF!$L$5*(1+$A4)/(C$2-$A4)/(1+C$2)^DCF!$L$3+SUM(DCF!$B$19:$B$22))/DCF!$B$24</f>
        <v>2.4679369632151564</v>
      </c>
      <c r="D4" s="35" cm="1">
        <f t="array" ref="D4">(SUMPRODUCT(DCF!$C$5:$L$5/(1+D$2)^DCF!$C$3:$L$3)+DCF!$L$5*(1+$A4)/(D$2-$A4)/(1+D$2)^DCF!$L$3+SUM(DCF!$B$19:$B$22))/DCF!$B$24</f>
        <v>2.3160785921141747</v>
      </c>
      <c r="E4" s="35" cm="1">
        <f t="array" ref="E4">(SUMPRODUCT(DCF!$C$5:$L$5/(1+E$2)^DCF!$C$3:$L$3)+DCF!$L$5*(1+$A4)/(E$2-$A4)/(1+E$2)^DCF!$L$3+SUM(DCF!$B$19:$B$22))/DCF!$B$24</f>
        <v>2.2160969567270601</v>
      </c>
      <c r="F4" s="35" cm="1">
        <f t="array" ref="F4">(SUMPRODUCT(DCF!$C$5:$L$5/(1+F$2)^DCF!$C$3:$L$3)+DCF!$L$5*(1+$A4)/(F$2-$A4)/(1+F$2)^DCF!$L$3+SUM(DCF!$B$19:$B$22))/DCF!$B$24</f>
        <v>2.1095763179781839</v>
      </c>
    </row>
    <row r="5" spans="1:6" x14ac:dyDescent="0.2">
      <c r="A5" s="34">
        <f>DCF!B10</f>
        <v>2.5000000000000001E-2</v>
      </c>
      <c r="B5" s="35" cm="1">
        <f t="array" ref="B5">(SUMPRODUCT(DCF!$C$5:$L$5/(1+B$2)^DCF!$C$3:$L$3)+DCF!$L$5*(1+$A5)/(B$2-$A5)/(1+B$2)^DCF!$L$3+SUM(DCF!$B$19:$B$22))/DCF!$B$24</f>
        <v>2.7076077231675963</v>
      </c>
      <c r="C5" s="35" cm="1">
        <f t="array" ref="C5">(SUMPRODUCT(DCF!$C$5:$L$5/(1+C$2)^DCF!$C$3:$L$3)+DCF!$L$5*(1+$A5)/(C$2-$A5)/(1+C$2)^DCF!$L$3+SUM(DCF!$B$19:$B$22))/DCF!$B$24</f>
        <v>2.5444891184186944</v>
      </c>
      <c r="D5" s="35" cm="1">
        <f t="array" ref="D5">(SUMPRODUCT(DCF!$C$5:$L$5/(1+D$2)^DCF!$C$3:$L$3)+DCF!$L$5*(1+$A5)/(D$2-$A5)/(1+D$2)^DCF!$L$3+SUM(DCF!$B$19:$B$22))/DCF!$B$24</f>
        <v>2.3804040486729203</v>
      </c>
      <c r="E5" s="35" cm="1">
        <f t="array" ref="E5">(SUMPRODUCT(DCF!$C$5:$L$5/(1+E$2)^DCF!$C$3:$L$3)+DCF!$L$5*(1+$A5)/(E$2-$A5)/(1+E$2)^DCF!$L$3+SUM(DCF!$B$19:$B$22))/DCF!$B$24</f>
        <v>2.2729612776294905</v>
      </c>
      <c r="F5" s="35" cm="1">
        <f t="array" ref="F5">(SUMPRODUCT(DCF!$C$5:$L$5/(1+F$2)^DCF!$C$3:$L$3)+DCF!$L$5*(1+$A5)/(F$2-$A5)/(1+F$2)^DCF!$L$3+SUM(DCF!$B$19:$B$22))/DCF!$B$24</f>
        <v>2.159003251251649</v>
      </c>
    </row>
    <row r="6" spans="1:6" x14ac:dyDescent="0.2">
      <c r="A6" s="19">
        <v>0.03</v>
      </c>
      <c r="B6" s="35" cm="1">
        <f t="array" ref="B6">(SUMPRODUCT(DCF!$C$5:$L$5/(1+B$2)^DCF!$C$3:$L$3)+DCF!$L$5*(1+$A6)/(B$2-$A6)/(1+B$2)^DCF!$L$3+SUM(DCF!$B$19:$B$22))/DCF!$B$24</f>
        <v>2.8092592517539732</v>
      </c>
      <c r="C6" s="35" cm="1">
        <f t="array" ref="C6">(SUMPRODUCT(DCF!$C$5:$L$5/(1+C$2)^DCF!$C$3:$L$3)+DCF!$L$5*(1+$A6)/(C$2-$A6)/(1+C$2)^DCF!$L$3+SUM(DCF!$B$19:$B$22))/DCF!$B$24</f>
        <v>2.6306102930226745</v>
      </c>
      <c r="D6" s="35" cm="1">
        <f t="array" ref="D6">(SUMPRODUCT(DCF!$C$5:$L$5/(1+D$2)^DCF!$C$3:$L$3)+DCF!$L$5*(1+$A6)/(D$2-$A6)/(1+D$2)^DCF!$L$3+SUM(DCF!$B$19:$B$22))/DCF!$B$24</f>
        <v>2.4522306389000588</v>
      </c>
      <c r="E6" s="35" cm="1">
        <f t="array" ref="E6">(SUMPRODUCT(DCF!$C$5:$L$5/(1+E$2)^DCF!$C$3:$L$3)+DCF!$L$5*(1+$A6)/(E$2-$A6)/(1+E$2)^DCF!$L$3+SUM(DCF!$B$19:$B$22))/DCF!$B$24</f>
        <v>2.3361438564099695</v>
      </c>
      <c r="F6" s="35" cm="1">
        <f t="array" ref="F6">(SUMPRODUCT(DCF!$C$5:$L$5/(1+F$2)^DCF!$C$3:$L$3)+DCF!$L$5*(1+$A6)/(F$2-$A6)/(1+F$2)^DCF!$L$3+SUM(DCF!$B$19:$B$22))/DCF!$B$24</f>
        <v>2.2136330196065326</v>
      </c>
    </row>
    <row r="7" spans="1:6" x14ac:dyDescent="0.2">
      <c r="A7" s="19">
        <v>3.5000000000000003E-2</v>
      </c>
      <c r="B7" s="35" cm="1">
        <f t="array" ref="B7">(SUMPRODUCT(DCF!$C$5:$L$5/(1+B$2)^DCF!$C$3:$L$3)+DCF!$L$5*(1+$A7)/(B$2-$A7)/(1+B$2)^DCF!$L$3+SUM(DCF!$B$19:$B$22))/DCF!$B$24</f>
        <v>2.9254324272812617</v>
      </c>
      <c r="C7" s="35" cm="1">
        <f t="array" ref="C7">(SUMPRODUCT(DCF!$C$5:$L$5/(1+C$2)^DCF!$C$3:$L$3)+DCF!$L$5*(1+$A7)/(C$2-$A7)/(1+C$2)^DCF!$L$3+SUM(DCF!$B$19:$B$22))/DCF!$B$24</f>
        <v>2.7282142909071858</v>
      </c>
      <c r="D7" s="35" cm="1">
        <f t="array" ref="D7">(SUMPRODUCT(DCF!$C$5:$L$5/(1+D$2)^DCF!$C$3:$L$3)+DCF!$L$5*(1+$A7)/(D$2-$A7)/(1+D$2)^DCF!$L$3+SUM(DCF!$B$19:$B$22))/DCF!$B$24</f>
        <v>2.5329516878160803</v>
      </c>
      <c r="E7" s="35" cm="1">
        <f t="array" ref="E7">(SUMPRODUCT(DCF!$C$5:$L$5/(1+E$2)^DCF!$C$3:$L$3)+DCF!$L$5*(1+$A7)/(E$2-$A7)/(1+E$2)^DCF!$L$3+SUM(DCF!$B$19:$B$22))/DCF!$B$24</f>
        <v>2.4067596797528572</v>
      </c>
      <c r="F7" s="35" cm="1">
        <f t="array" ref="F7">(SUMPRODUCT(DCF!$C$5:$L$5/(1+F$2)^DCF!$C$3:$L$3)+DCF!$L$5*(1+$A7)/(F$2-$A7)/(1+F$2)^DCF!$L$3+SUM(DCF!$B$19:$B$22))/DCF!$B$24</f>
        <v>2.2743327622230698</v>
      </c>
    </row>
    <row r="8" spans="1:6" ht="34" x14ac:dyDescent="0.2">
      <c r="A8" s="9" t="s">
        <v>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Summary</vt:lpstr>
      <vt:lpstr>Historicals</vt:lpstr>
      <vt:lpstr>Forecast</vt:lpstr>
      <vt:lpstr>WACC</vt:lpstr>
      <vt:lpstr>DCF</vt:lpstr>
      <vt:lpstr>Sensitivity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Gillespie, Thomas [hstgille]</dc:creator>
  <cp:lastModifiedBy>Gillespie, Thomas [hstgille]</cp:lastModifiedBy>
  <dcterms:created xsi:type="dcterms:W3CDTF">2026-10-04T13:11:08Z</dcterms:created>
  <dcterms:modified xsi:type="dcterms:W3CDTF">2026-10-16T12:30:32Z</dcterms:modified>
</cp:coreProperties>
</file>